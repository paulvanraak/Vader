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s mij" sheetId="1" state="visible" r:id="rId1"/>
    <sheet name="Huidige content" sheetId="2" state="visible" r:id="rId2"/>
    <sheet name="Diagnose" sheetId="3" state="visible" r:id="rId3"/>
    <sheet name="Vraagtypen" sheetId="4" state="visible" r:id="rId4"/>
    <sheet name="Herhaling" sheetId="5" state="visible" r:id="rId5"/>
    <sheet name="Themamodel" sheetId="6" state="visible" r:id="rId6"/>
    <sheet name="Nieuwe oefeningen" sheetId="7" state="visible" r:id="rId7"/>
    <sheet name="Jaarritme" sheetId="8" state="visible" r:id="rId8"/>
    <sheet name="Raamwerken" sheetId="9" state="visible" r:id="rId9"/>
    <sheet name="Oefenpool"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color rgb="00666666"/>
      <sz val="9"/>
    </font>
    <font>
      <name val="Arial"/>
      <sz val="10"/>
    </font>
    <font>
      <name val="Arial"/>
      <b val="1"/>
      <sz val="10"/>
    </font>
    <font>
      <name val="Arial"/>
      <b val="1"/>
      <color rgb="00FFFFFF"/>
      <sz val="11"/>
    </font>
    <font>
      <name val="Arial"/>
      <color rgb="000000FF"/>
      <sz val="10"/>
    </font>
  </fonts>
  <fills count="7">
    <fill>
      <patternFill/>
    </fill>
    <fill>
      <patternFill patternType="gray125"/>
    </fill>
    <fill>
      <patternFill patternType="solid">
        <fgColor rgb="00FFF2CC"/>
      </patternFill>
    </fill>
    <fill>
      <patternFill patternType="solid">
        <fgColor rgb="001F3B4D"/>
      </patternFill>
    </fill>
    <fill>
      <patternFill patternType="solid">
        <fgColor rgb="00F2F2F2"/>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3" fillId="2" borderId="0" pivotButton="0" quotePrefix="0" xfId="0"/>
    <xf numFmtId="0" fontId="5" fillId="3" borderId="1" applyAlignment="1" pivotButton="0" quotePrefix="0" xfId="0">
      <alignment vertical="center" wrapText="1"/>
    </xf>
    <xf numFmtId="0" fontId="6" fillId="0" borderId="1" applyAlignment="1" pivotButton="0" quotePrefix="0" xfId="0">
      <alignment vertical="top" wrapText="1"/>
    </xf>
    <xf numFmtId="0" fontId="3" fillId="4" borderId="1" applyAlignment="1" pivotButton="0" quotePrefix="0" xfId="0">
      <alignment vertical="top"/>
    </xf>
    <xf numFmtId="0" fontId="3" fillId="2" borderId="1" applyAlignment="1" pivotButton="0" quotePrefix="0" xfId="0">
      <alignment vertical="top" wrapText="1"/>
    </xf>
    <xf numFmtId="0" fontId="3" fillId="0" borderId="1" pivotButton="0" quotePrefix="0" xfId="0"/>
    <xf numFmtId="0" fontId="3" fillId="4" borderId="1" pivotButton="0" quotePrefix="0" xfId="0"/>
    <xf numFmtId="0" fontId="3" fillId="0" borderId="1" applyAlignment="1" pivotButton="0" quotePrefix="0" xfId="0">
      <alignment vertical="top" wrapText="1"/>
    </xf>
    <xf numFmtId="0" fontId="3" fillId="5" borderId="1" pivotButton="0" quotePrefix="0" xfId="0"/>
    <xf numFmtId="0" fontId="3" fillId="5" borderId="1" applyAlignment="1" pivotButton="0" quotePrefix="0" xfId="0">
      <alignment vertical="top" wrapText="1"/>
    </xf>
    <xf numFmtId="0" fontId="4" fillId="0" borderId="1" applyAlignment="1" pivotButton="0" quotePrefix="0" xfId="0">
      <alignment vertical="top" wrapText="1"/>
    </xf>
    <xf numFmtId="0" fontId="3" fillId="6" borderId="1" applyAlignment="1" pivotButton="0" quotePrefix="0" xfId="0">
      <alignment vertical="top" wrapText="1"/>
    </xf>
    <xf numFmtId="0" fontId="4" fillId="4" borderId="0" pivotButton="0" quotePrefix="0" xfId="0"/>
    <xf numFmtId="0" fontId="3" fillId="4"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105" customWidth="1" min="2" max="2"/>
  </cols>
  <sheetData>
    <row r="1">
      <c r="A1" s="1" t="inlineStr">
        <is>
          <t>FatherFlow — pad, oefeningen en thema's</t>
        </is>
      </c>
    </row>
    <row r="2">
      <c r="A2" s="2" t="inlineStr">
        <is>
          <t>Werkboek om de content opnieuw in te richten. Gegenereerd uit Supabase, 29-08-2026.</t>
        </is>
      </c>
    </row>
    <row r="4">
      <c r="A4" s="3" t="inlineStr"/>
      <c r="B4" s="4" t="inlineStr"/>
    </row>
    <row r="5">
      <c r="A5" s="5" t="inlineStr">
        <is>
          <t>KLEURCODE</t>
        </is>
      </c>
      <c r="B5" s="4" t="inlineStr"/>
    </row>
    <row r="6">
      <c r="A6" s="6" t="inlineStr">
        <is>
          <t>Geel</t>
        </is>
      </c>
      <c r="B6" s="4" t="inlineStr">
        <is>
          <t>Hier vul jij in. Alle gele cellen zijn bedoeld om aan te passen.</t>
        </is>
      </c>
    </row>
    <row r="7">
      <c r="A7" s="3" t="inlineStr">
        <is>
          <t>Blauw</t>
        </is>
      </c>
      <c r="B7" s="4" t="inlineStr">
        <is>
          <t>Feit uit de database. Niet aanpassen — dit is de huidige staat.</t>
        </is>
      </c>
    </row>
    <row r="8">
      <c r="A8" s="3" t="inlineStr">
        <is>
          <t>Zwart / grijs</t>
        </is>
      </c>
      <c r="B8" s="4" t="inlineStr">
        <is>
          <t>Formule of toelichting. Rekent zichzelf uit.</t>
        </is>
      </c>
    </row>
    <row r="9">
      <c r="A9" s="3" t="inlineStr"/>
      <c r="B9" s="4" t="inlineStr"/>
    </row>
    <row r="10">
      <c r="A10" s="5" t="inlineStr">
        <is>
          <t>DE TABBLADEN</t>
        </is>
      </c>
      <c r="B10" s="4" t="inlineStr"/>
    </row>
    <row r="11">
      <c r="A11" s="3" t="inlineStr">
        <is>
          <t>Huidige content</t>
        </is>
      </c>
      <c r="B11" s="4" t="inlineStr">
        <is>
          <t>Alle 36 lessen met vraag, opties, welk antwoord goed is, en de thuismissies. Per les twee gele kolommen: jouw oordeel en welk nieuw vraagtype erbij past.</t>
        </is>
      </c>
    </row>
    <row r="12">
      <c r="A12" s="3" t="inlineStr">
        <is>
          <t>Diagnose</t>
        </is>
      </c>
      <c r="B12" s="4" t="inlineStr">
        <is>
          <t>Rekent de patronen uit die in de huidige oefeningen zitten. Alles op deze pagina verandert mee zodra je in Huidige content iets aanpast.</t>
        </is>
      </c>
    </row>
    <row r="13">
      <c r="A13" s="3" t="inlineStr">
        <is>
          <t>Vraagtypen</t>
        </is>
      </c>
      <c r="B13" s="4" t="inlineStr">
        <is>
          <t>Negen vraagvormen om uit te kiezen, met waarom ze werken en waar ze misgaan. De namen hier vullen de dropdown in Huidige content en Nieuwe oefeningen.</t>
        </is>
      </c>
    </row>
    <row r="14">
      <c r="A14" s="3" t="inlineStr">
        <is>
          <t>Herhaling</t>
        </is>
      </c>
      <c r="B14" s="4" t="inlineStr">
        <is>
          <t>Het herhaalmodel: wanneer komt iets terug, wat vervaagt, wat telt als contact.</t>
        </is>
      </c>
    </row>
    <row r="15">
      <c r="A15" s="3" t="inlineStr">
        <is>
          <t>Themamodel</t>
        </is>
      </c>
      <c r="B15" s="4" t="inlineStr">
        <is>
          <t>De nieuwe indeling in units. Hier schuif je met thema's, volgorde en aantallen.</t>
        </is>
      </c>
    </row>
    <row r="16">
      <c r="A16" s="3" t="inlineStr">
        <is>
          <t>Nieuwe oefeningen</t>
        </is>
      </c>
      <c r="B16" s="4" t="inlineStr">
        <is>
          <t>Werkblad om nieuwe oefeningen te schrijven. Eén ingevulde voorbeeldrij.</t>
        </is>
      </c>
    </row>
    <row r="17">
      <c r="A17" s="3" t="inlineStr"/>
      <c r="B17" s="4" t="inlineStr"/>
    </row>
    <row r="18">
      <c r="A18" s="5" t="inlineStr">
        <is>
          <t>HET KERNPROBLEEM</t>
        </is>
      </c>
      <c r="B18" s="4" t="inlineStr"/>
    </row>
    <row r="19">
      <c r="A19" s="3" t="inlineStr"/>
      <c r="B19" s="4" t="inlineStr">
        <is>
          <t>Alle 36 oefeningen hebben dezelfde vorm: 3 opties, 1 goed, en 36 van de 36 keer de vraagstam "Wat zou de beste aanpak zijn?".</t>
        </is>
      </c>
    </row>
    <row r="20">
      <c r="A20" s="3" t="inlineStr"/>
      <c r="B20" s="4" t="inlineStr">
        <is>
          <t>Belangrijker: elke foute optie is óf te hard (dwingen, straffen, afpakken, verbieden) óf te passief (negeren, niks zeggen, laten rusten). Het goede antwoord is altijd het nieuwsgierige middenpad.</t>
        </is>
      </c>
    </row>
    <row r="21">
      <c r="A21" s="3" t="inlineStr"/>
      <c r="B21" s="4" t="inlineStr">
        <is>
          <t>Daardoor is de oefening te winnen zonder na te denken. Een vader heeft de regel na twee lessen door — kies de optie met een vraag erin — en scoort vanaf dan 100% zonder één keer aan zijn eigen kind te denken. Hij oefent antwoordvorm, niet zijn zoon.</t>
        </is>
      </c>
    </row>
    <row r="22">
      <c r="A22" s="3" t="inlineStr"/>
      <c r="B22" s="4" t="inlineStr"/>
    </row>
    <row r="23">
      <c r="A23" s="5" t="inlineStr">
        <is>
          <t>WAT DUOLINGO WÉL LEERT</t>
        </is>
      </c>
      <c r="B23" s="4" t="inlineStr"/>
    </row>
    <row r="24">
      <c r="A24" s="3" t="inlineStr"/>
      <c r="B24" s="4" t="inlineStr">
        <is>
          <t>Afwisseling in vraagvorm, herhaling op oplopende intervallen, korte sessies met een duidelijk einde, fouten die terugkomen, en vergevingsgezinde streaks.</t>
        </is>
      </c>
    </row>
    <row r="25">
      <c r="A25" s="5" t="inlineStr">
        <is>
          <t>WAT NIET</t>
        </is>
      </c>
      <c r="B25" s="4" t="inlineStr"/>
    </row>
    <row r="26">
      <c r="A26" s="3" t="inlineStr"/>
      <c r="B26" s="4" t="inlineStr">
        <is>
          <t>Duolingo heeft objectief goede antwoorden. Opvoeden niet. Eén-goed-antwoord-uit-drie levert hier precies de gokbaarheid op die hierboven staat.</t>
        </is>
      </c>
    </row>
    <row r="27">
      <c r="A27" s="3" t="inlineStr"/>
      <c r="B27" s="4" t="inlineStr">
        <is>
          <t>Duolingo oefent de vaardigheid ín de app. Een vader oefent thuis, met zijn kind. De oefening is dus een repetitie; de echte herhaling is de thuismissie. Die kan de app niet verifiëren.</t>
        </is>
      </c>
    </row>
    <row r="28">
      <c r="A28" s="3" t="inlineStr"/>
      <c r="B28" s="4" t="inlineStr">
        <is>
          <t>Dagelijkse streakdruk werkt bij een vader die al denkt dat hij faalt averechts. Wekelijks en vergevingsgezind past beter.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2"/>
  <sheetViews>
    <sheetView workbookViewId="0">
      <pane ySplit="4" topLeftCell="A5" activePane="bottomLeft" state="frozen"/>
      <selection pane="bottomLeft" activeCell="A1" sqref="A1"/>
    </sheetView>
  </sheetViews>
  <sheetFormatPr baseColWidth="8" defaultRowHeight="15"/>
  <cols>
    <col width="7" customWidth="1" min="1" max="1"/>
    <col width="20" customWidth="1" min="2" max="2"/>
    <col width="8" customWidth="1" min="3" max="3"/>
    <col width="5" customWidth="1" min="4" max="4"/>
    <col width="34" customWidth="1" min="5" max="5"/>
    <col width="42" customWidth="1" min="6" max="6"/>
    <col width="34" customWidth="1" min="7" max="7"/>
    <col width="34" customWidth="1" min="8" max="8"/>
    <col width="34" customWidth="1" min="9" max="9"/>
    <col width="9" customWidth="1" min="10" max="10"/>
    <col width="12" customWidth="1" min="11" max="11"/>
    <col width="13" customWidth="1" min="12" max="12"/>
    <col width="16" customWidth="1" min="13" max="13"/>
    <col width="22" customWidth="1" min="14" max="14"/>
    <col width="34" customWidth="1" min="15" max="15"/>
  </cols>
  <sheetData>
    <row r="1">
      <c r="A1" s="1" t="inlineStr">
        <is>
          <t>Huidige content — 36 lessen</t>
        </is>
      </c>
    </row>
    <row r="2">
      <c r="A2" s="2" t="inlineStr">
        <is>
          <t>Blauw = uit de database. Geel = jouw werk. De twee laatste kolommen sturen het Diagnose-tabblad.</t>
        </is>
      </c>
    </row>
    <row r="4" ht="30" customHeight="1">
      <c r="A4" s="7" t="inlineStr">
        <is>
          <t>Wereld</t>
        </is>
      </c>
      <c r="B4" s="7" t="inlineStr">
        <is>
          <t>Thema</t>
        </is>
      </c>
      <c r="C4" s="7" t="inlineStr">
        <is>
          <t>Cohort</t>
        </is>
      </c>
      <c r="D4" s="7" t="inlineStr">
        <is>
          <t>Les</t>
        </is>
      </c>
      <c r="E4" s="7" t="inlineStr">
        <is>
          <t>Lestitel</t>
        </is>
      </c>
      <c r="F4" s="7" t="inlineStr">
        <is>
          <t>Vraag</t>
        </is>
      </c>
      <c r="G4" s="7" t="inlineStr">
        <is>
          <t>Optie 1</t>
        </is>
      </c>
      <c r="H4" s="7" t="inlineStr">
        <is>
          <t>Optie 2</t>
        </is>
      </c>
      <c r="I4" s="7" t="inlineStr">
        <is>
          <t>Optie 3</t>
        </is>
      </c>
      <c r="J4" s="7" t="inlineStr">
        <is>
          <t>Goed (1-3)</t>
        </is>
      </c>
      <c r="K4" s="7" t="inlineStr">
        <is>
          <t>Stam = 'beste aanpak'?</t>
        </is>
      </c>
      <c r="L4" s="7" t="inlineStr">
        <is>
          <t>Goed antw. is een vraag?</t>
        </is>
      </c>
      <c r="M4" s="7" t="inlineStr">
        <is>
          <t>Jouw oordeel</t>
        </is>
      </c>
      <c r="N4" s="7" t="inlineStr">
        <is>
          <t>Nieuw vraagtype</t>
        </is>
      </c>
      <c r="O4" s="7" t="inlineStr">
        <is>
          <t>Notitie</t>
        </is>
      </c>
    </row>
    <row r="5" ht="46" customHeight="1">
      <c r="A5" s="8" t="n">
        <v>1</v>
      </c>
      <c r="B5" s="8" t="inlineStr">
        <is>
          <t>Verbinding</t>
        </is>
      </c>
      <c r="C5" s="8" t="inlineStr">
        <is>
          <t>oud</t>
        </is>
      </c>
      <c r="D5" s="8" t="n">
        <v>0</v>
      </c>
      <c r="E5" s="8" t="inlineStr">
        <is>
          <t>Als hij zich terugtrekt op zijn kamer</t>
        </is>
      </c>
      <c r="F5" s="8" t="inlineStr">
        <is>
          <t>{naam} trekt zich weer terug na het eten. Wat zou de beste aanpak {zijn}?</t>
        </is>
      </c>
      <c r="G5" s="8" t="inlineStr">
        <is>
          <t>{Hem} dwingen aan tafel te blijven.</t>
        </is>
      </c>
      <c r="H5" s="8" t="inlineStr">
        <is>
          <t>Af en toe gewoon binnenlopen zonder agenda.</t>
        </is>
      </c>
      <c r="I5" s="8" t="inlineStr">
        <is>
          <t>{Hem} er nooit meer over aanspreken.</t>
        </is>
      </c>
      <c r="J5" s="8" t="n">
        <v>2</v>
      </c>
      <c r="K5" s="9">
        <f>IF(ISNUMBER(SEARCH("beste aanpak",F5)),"ja","nee")</f>
        <v/>
      </c>
      <c r="L5" s="9">
        <f>IF(ISNUMBER(SEARCH("vra",INDEX(G5:I5,J5))),"ja","nee")</f>
        <v/>
      </c>
      <c r="M5" s="10" t="n"/>
      <c r="N5" s="10" t="n"/>
      <c r="O5" s="10" t="n"/>
    </row>
    <row r="6" ht="46" customHeight="1">
      <c r="A6" s="8" t="n">
        <v>1</v>
      </c>
      <c r="B6" s="8" t="inlineStr">
        <is>
          <t>Verbinding</t>
        </is>
      </c>
      <c r="C6" s="8" t="inlineStr">
        <is>
          <t>oud</t>
        </is>
      </c>
      <c r="D6" s="8" t="n">
        <v>1</v>
      </c>
      <c r="E6" s="8" t="inlineStr">
        <is>
          <t>Waarom een goed gesprek zelden aan tafel begint</t>
        </is>
      </c>
      <c r="F6" s="8" t="inlineStr">
        <is>
          <t>Je wil iets bespreken dat gevoelig ligt. Wat zou de beste aanpak {zijn}?</t>
        </is>
      </c>
      <c r="G6" s="8" t="inlineStr">
        <is>
          <t>Wachten tot {hij} er zelf over begint.</t>
        </is>
      </c>
      <c r="H6" s="8" t="inlineStr">
        <is>
          <t>Het gesprek laten ontstaan tijdens een activiteit samen.</t>
        </is>
      </c>
      <c r="I6" s="8" t="inlineStr">
        <is>
          <t>{Hem} aan de keukentafel zetten voor een gesprek.</t>
        </is>
      </c>
      <c r="J6" s="8" t="n">
        <v>2</v>
      </c>
      <c r="K6" s="9">
        <f>IF(ISNUMBER(SEARCH("beste aanpak",F6)),"ja","nee")</f>
        <v/>
      </c>
      <c r="L6" s="9">
        <f>IF(ISNUMBER(SEARCH("vra",INDEX(G6:I6,J6))),"ja","nee")</f>
        <v/>
      </c>
      <c r="M6" s="10" t="n"/>
      <c r="N6" s="10" t="n"/>
      <c r="O6" s="10" t="n"/>
    </row>
    <row r="7" ht="46" customHeight="1">
      <c r="A7" s="8" t="n">
        <v>1</v>
      </c>
      <c r="B7" s="8" t="inlineStr">
        <is>
          <t>Verbinding</t>
        </is>
      </c>
      <c r="C7" s="8" t="inlineStr">
        <is>
          <t>oud</t>
        </is>
      </c>
      <c r="D7" s="8" t="n">
        <v>2</v>
      </c>
      <c r="E7" s="8" t="inlineStr">
        <is>
          <t>Als "gaat wel" het enige antwoord is</t>
        </is>
      </c>
      <c r="F7" s="8" t="inlineStr">
        <is>
          <t>Je krijgt weer "gaat wel" te horen. Wat zou de beste aanpak {zijn}?</t>
        </is>
      </c>
      <c r="G7" s="8" t="inlineStr">
        <is>
          <t>Het gesprek maar laten rusten.</t>
        </is>
      </c>
      <c r="H7" s="8" t="inlineStr">
        <is>
          <t>Een concrete, kleine vraag stellen over iets specifieks.</t>
        </is>
      </c>
      <c r="I7" s="8" t="inlineStr">
        <is>
          <t>Nog een keer dezelfde brede vraag stellen.</t>
        </is>
      </c>
      <c r="J7" s="8" t="n">
        <v>2</v>
      </c>
      <c r="K7" s="9">
        <f>IF(ISNUMBER(SEARCH("beste aanpak",F7)),"ja","nee")</f>
        <v/>
      </c>
      <c r="L7" s="9">
        <f>IF(ISNUMBER(SEARCH("vra",INDEX(G7:I7,J7))),"ja","nee")</f>
        <v/>
      </c>
      <c r="M7" s="10" t="n"/>
      <c r="N7" s="10" t="n"/>
      <c r="O7" s="10" t="n"/>
    </row>
    <row r="8" ht="46" customHeight="1">
      <c r="A8" s="8" t="n">
        <v>1</v>
      </c>
      <c r="B8" s="8" t="inlineStr">
        <is>
          <t>Verbinding</t>
        </is>
      </c>
      <c r="C8" s="8" t="inlineStr">
        <is>
          <t>jong</t>
        </is>
      </c>
      <c r="D8" s="8" t="n">
        <v>3</v>
      </c>
      <c r="E8" s="8" t="inlineStr">
        <is>
          <t>Als hij ineens niks meer vertelt over school</t>
        </is>
      </c>
      <c r="F8" s="8" t="inlineStr">
        <is>
          <t>{naam} geeft bij het ophalen alleen een schouderophaal. Wat zou de beste aanpak {zijn}?</t>
        </is>
      </c>
      <c r="G8" s="8" t="inlineStr">
        <is>
          <t>Blijven doorvragen tot {hij} iets vertelt.</t>
        </is>
      </c>
      <c r="H8" s="8" t="inlineStr">
        <is>
          <t>Er verder niet meer naar vragen.</t>
        </is>
      </c>
      <c r="I8" s="8" t="inlineStr">
        <is>
          <t>Een klein, concreet dingetje vragen in plaats van "hoe was het".</t>
        </is>
      </c>
      <c r="J8" s="8" t="n">
        <v>3</v>
      </c>
      <c r="K8" s="9">
        <f>IF(ISNUMBER(SEARCH("beste aanpak",F8)),"ja","nee")</f>
        <v/>
      </c>
      <c r="L8" s="9">
        <f>IF(ISNUMBER(SEARCH("vra",INDEX(G8:I8,J8))),"ja","nee")</f>
        <v/>
      </c>
      <c r="M8" s="10" t="n"/>
      <c r="N8" s="10" t="n"/>
      <c r="O8" s="10" t="n"/>
    </row>
    <row r="9" ht="46" customHeight="1">
      <c r="A9" s="8" t="n">
        <v>1</v>
      </c>
      <c r="B9" s="8" t="inlineStr">
        <is>
          <t>Verbinding</t>
        </is>
      </c>
      <c r="C9" s="8" t="inlineStr">
        <is>
          <t>jong</t>
        </is>
      </c>
      <c r="D9" s="8" t="n">
        <v>4</v>
      </c>
      <c r="E9" s="8" t="inlineStr">
        <is>
          <t>Waarom knuffelen ineens ongemakkelijk voelt</t>
        </is>
      </c>
      <c r="F9" s="8" t="inlineStr">
        <is>
          <t>{naam} duwt je knuffel weg met een lachje. Wat zou de beste aanpak {zijn}?</t>
        </is>
      </c>
      <c r="G9" s="8" t="inlineStr">
        <is>
          <t>{Zijn} grens accepteren en een andere manier van nabijheid zoeken.</t>
        </is>
      </c>
      <c r="H9" s="8" t="inlineStr">
        <is>
          <t>Doorzetten, want knuffelen hoort er gewoon bij.</t>
        </is>
      </c>
      <c r="I9" s="8" t="inlineStr">
        <is>
          <t>Er beledigd op reageren.</t>
        </is>
      </c>
      <c r="J9" s="8" t="n">
        <v>1</v>
      </c>
      <c r="K9" s="9">
        <f>IF(ISNUMBER(SEARCH("beste aanpak",F9)),"ja","nee")</f>
        <v/>
      </c>
      <c r="L9" s="9">
        <f>IF(ISNUMBER(SEARCH("vra",INDEX(G9:I9,J9))),"ja","nee")</f>
        <v/>
      </c>
      <c r="M9" s="10" t="n"/>
      <c r="N9" s="10" t="n"/>
      <c r="O9" s="10" t="n"/>
    </row>
    <row r="10" ht="46" customHeight="1">
      <c r="A10" s="8" t="n">
        <v>1</v>
      </c>
      <c r="B10" s="8" t="inlineStr">
        <is>
          <t>Verbinding</t>
        </is>
      </c>
      <c r="C10" s="8" t="inlineStr">
        <is>
          <t>jong</t>
        </is>
      </c>
      <c r="D10" s="8" t="n">
        <v>5</v>
      </c>
      <c r="E10" s="8" t="inlineStr">
        <is>
          <t>Als "niks" het enige antwoord is</t>
        </is>
      </c>
      <c r="F10" s="8" t="inlineStr">
        <is>
          <t>Je krijgt weer "niks" als antwoord op je vraag. Wat zou de beste aanpak {zijn}?</t>
        </is>
      </c>
      <c r="G10" s="8" t="inlineStr">
        <is>
          <t>Net zo lang doorvragen tot er meer uitkomt.</t>
        </is>
      </c>
      <c r="H10" s="8" t="inlineStr">
        <is>
          <t>Het gewoon laten zitten voor vandaag.</t>
        </is>
      </c>
      <c r="I10" s="8" t="inlineStr">
        <is>
          <t>Een klein, concreet momentje van de dag noemen om op te reageren.</t>
        </is>
      </c>
      <c r="J10" s="8" t="n">
        <v>3</v>
      </c>
      <c r="K10" s="9">
        <f>IF(ISNUMBER(SEARCH("beste aanpak",F10)),"ja","nee")</f>
        <v/>
      </c>
      <c r="L10" s="9">
        <f>IF(ISNUMBER(SEARCH("vra",INDEX(G10:I10,J10))),"ja","nee")</f>
        <v/>
      </c>
      <c r="M10" s="10" t="n"/>
      <c r="N10" s="10" t="n"/>
      <c r="O10" s="10" t="n"/>
    </row>
    <row r="11" ht="46" customHeight="1">
      <c r="A11" s="8" t="n">
        <v>2</v>
      </c>
      <c r="B11" s="8" t="inlineStr">
        <is>
          <t>Emoties</t>
        </is>
      </c>
      <c r="C11" s="8" t="inlineStr">
        <is>
          <t>oud</t>
        </is>
      </c>
      <c r="D11" s="8" t="n">
        <v>0</v>
      </c>
      <c r="E11" s="8" t="inlineStr">
        <is>
          <t>Als een kleinigheid een woede-uitbarsting wordt</t>
        </is>
      </c>
      <c r="F11" s="8" t="inlineStr">
        <is>
          <t>{naam} ontploft om iets kleins. Wat zou de beste aanpak {zijn}?</t>
        </is>
      </c>
      <c r="G11" s="8" t="inlineStr">
        <is>
          <t>Zeggen dat {hij} overdrijft.</t>
        </is>
      </c>
      <c r="H11" s="8" t="inlineStr">
        <is>
          <t>Rustig blijven en vragen wat er verder nog speelt.</t>
        </is>
      </c>
      <c r="I11" s="8" t="inlineStr">
        <is>
          <t>De situatie negeren tot {hij} is gekalmeerd.</t>
        </is>
      </c>
      <c r="J11" s="8" t="n">
        <v>2</v>
      </c>
      <c r="K11" s="9">
        <f>IF(ISNUMBER(SEARCH("beste aanpak",F11)),"ja","nee")</f>
        <v/>
      </c>
      <c r="L11" s="9">
        <f>IF(ISNUMBER(SEARCH("vra",INDEX(G11:I11,J11))),"ja","nee")</f>
        <v/>
      </c>
      <c r="M11" s="10" t="n"/>
      <c r="N11" s="10" t="n"/>
      <c r="O11" s="10" t="n"/>
    </row>
    <row r="12" ht="46" customHeight="1">
      <c r="A12" s="8" t="n">
        <v>2</v>
      </c>
      <c r="B12" s="8" t="inlineStr">
        <is>
          <t>Emoties</t>
        </is>
      </c>
      <c r="C12" s="8" t="inlineStr">
        <is>
          <t>oud</t>
        </is>
      </c>
      <c r="D12" s="8" t="n">
        <v>1</v>
      </c>
      <c r="E12" s="8" t="inlineStr">
        <is>
          <t>Waarom stiltes niet altijd iets verbergen</t>
        </is>
      </c>
      <c r="F12" s="8" t="inlineStr">
        <is>
          <t>{naam} is al dagen stil. Wat zou de beste aanpak {zijn}?</t>
        </is>
      </c>
      <c r="G12" s="8" t="inlineStr">
        <is>
          <t>Net doen of er niks aan de hand is.</t>
        </is>
      </c>
      <c r="H12" s="8" t="inlineStr">
        <is>
          <t>Laten weten dat je er bent, zonder te pushen.</t>
        </is>
      </c>
      <c r="I12" s="8" t="inlineStr">
        <is>
          <t>Net zo lang doorvragen tot {hij} iets zegt.</t>
        </is>
      </c>
      <c r="J12" s="8" t="n">
        <v>2</v>
      </c>
      <c r="K12" s="9">
        <f>IF(ISNUMBER(SEARCH("beste aanpak",F12)),"ja","nee")</f>
        <v/>
      </c>
      <c r="L12" s="9">
        <f>IF(ISNUMBER(SEARCH("vra",INDEX(G12:I12,J12))),"ja","nee")</f>
        <v/>
      </c>
      <c r="M12" s="10" t="n"/>
      <c r="N12" s="10" t="n"/>
      <c r="O12" s="10" t="n"/>
    </row>
    <row r="13" ht="46" customHeight="1">
      <c r="A13" s="8" t="n">
        <v>2</v>
      </c>
      <c r="B13" s="8" t="inlineStr">
        <is>
          <t>Emoties</t>
        </is>
      </c>
      <c r="C13" s="8" t="inlineStr">
        <is>
          <t>oud</t>
        </is>
      </c>
      <c r="D13" s="8" t="n">
        <v>2</v>
      </c>
      <c r="E13" s="8" t="inlineStr">
        <is>
          <t>Als hij jou de schuld geeft van alles</t>
        </is>
      </c>
      <c r="F13" s="8" t="inlineStr">
        <is>
          <t>{naam} geeft je overal de schuld van. Wat zou de beste aanpak {zijn}?</t>
        </is>
      </c>
      <c r="G13" s="8" t="inlineStr">
        <is>
          <t>Erkennen dat {hij} gefrustreerd is en vragen wat er echt speelt.</t>
        </is>
      </c>
      <c r="H13" s="8" t="inlineStr">
        <is>
          <t>Fel verdedigen dat het niet jouw schuld is.</t>
        </is>
      </c>
      <c r="I13" s="8" t="inlineStr">
        <is>
          <t>{Hem} straffen voor het onterechte verwijt.</t>
        </is>
      </c>
      <c r="J13" s="8" t="n">
        <v>1</v>
      </c>
      <c r="K13" s="9">
        <f>IF(ISNUMBER(SEARCH("beste aanpak",F13)),"ja","nee")</f>
        <v/>
      </c>
      <c r="L13" s="9">
        <f>IF(ISNUMBER(SEARCH("vra",INDEX(G13:I13,J13))),"ja","nee")</f>
        <v/>
      </c>
      <c r="M13" s="10" t="n"/>
      <c r="N13" s="10" t="n"/>
      <c r="O13" s="10" t="n"/>
    </row>
    <row r="14" ht="46" customHeight="1">
      <c r="A14" s="8" t="n">
        <v>2</v>
      </c>
      <c r="B14" s="8" t="inlineStr">
        <is>
          <t>Emoties</t>
        </is>
      </c>
      <c r="C14" s="8" t="inlineStr">
        <is>
          <t>jong</t>
        </is>
      </c>
      <c r="D14" s="8" t="n">
        <v>3</v>
      </c>
      <c r="E14" s="8" t="inlineStr">
        <is>
          <t>Als een klein dingetje een driftbui wordt</t>
        </is>
      </c>
      <c r="F14" s="8" t="inlineStr">
        <is>
          <t>{naam} is in tranen om {zijn} doormidden gesneden boterham. Wat zou de beste aanpak {zijn}?</t>
        </is>
      </c>
      <c r="G14" s="8" t="inlineStr">
        <is>
          <t>Uitleggen dat het maar een boterham is.</t>
        </is>
      </c>
      <c r="H14" s="8" t="inlineStr">
        <is>
          <t>Eerst het gevoel benoemen, dan pas de boterham oplossen.</t>
        </is>
      </c>
      <c r="I14" s="8" t="inlineStr">
        <is>
          <t>{Hem} laten uithuilen zonder iets te zeggen.</t>
        </is>
      </c>
      <c r="J14" s="8" t="n">
        <v>2</v>
      </c>
      <c r="K14" s="9">
        <f>IF(ISNUMBER(SEARCH("beste aanpak",F14)),"ja","nee")</f>
        <v/>
      </c>
      <c r="L14" s="9">
        <f>IF(ISNUMBER(SEARCH("vra",INDEX(G14:I14,J14))),"ja","nee")</f>
        <v/>
      </c>
      <c r="M14" s="10" t="n"/>
      <c r="N14" s="10" t="n"/>
      <c r="O14" s="10" t="n"/>
    </row>
    <row r="15" ht="46" customHeight="1">
      <c r="A15" s="8" t="n">
        <v>2</v>
      </c>
      <c r="B15" s="8" t="inlineStr">
        <is>
          <t>Emoties</t>
        </is>
      </c>
      <c r="C15" s="8" t="inlineStr">
        <is>
          <t>jong</t>
        </is>
      </c>
      <c r="D15" s="8" t="n">
        <v>4</v>
      </c>
      <c r="E15" s="8" t="inlineStr">
        <is>
          <t>Waarom hij soms ineens stil wordt na school</t>
        </is>
      </c>
      <c r="F15" s="8" t="inlineStr">
        <is>
          <t>{naam} is stil op de bank na school. Wat zou de beste aanpak {zijn}?</t>
        </is>
      </c>
      <c r="G15" s="8" t="inlineStr">
        <is>
          <t>Even rustig naast {hem} gaan zitten zonder iets te vragen.</t>
        </is>
      </c>
      <c r="H15" s="8" t="inlineStr">
        <is>
          <t>Meteen vragen wat er precies is.</t>
        </is>
      </c>
      <c r="I15" s="8" t="inlineStr">
        <is>
          <t>{Hem} meteen aan iets anders zetten om {hem} op te vrolijken.</t>
        </is>
      </c>
      <c r="J15" s="8" t="n">
        <v>1</v>
      </c>
      <c r="K15" s="9">
        <f>IF(ISNUMBER(SEARCH("beste aanpak",F15)),"ja","nee")</f>
        <v/>
      </c>
      <c r="L15" s="9">
        <f>IF(ISNUMBER(SEARCH("vra",INDEX(G15:I15,J15))),"ja","nee")</f>
        <v/>
      </c>
      <c r="M15" s="10" t="n"/>
      <c r="N15" s="10" t="n"/>
      <c r="O15" s="10" t="n"/>
    </row>
    <row r="16" ht="46" customHeight="1">
      <c r="A16" s="8" t="n">
        <v>2</v>
      </c>
      <c r="B16" s="8" t="inlineStr">
        <is>
          <t>Emoties</t>
        </is>
      </c>
      <c r="C16" s="8" t="inlineStr">
        <is>
          <t>jong</t>
        </is>
      </c>
      <c r="D16" s="8" t="n">
        <v>5</v>
      </c>
      <c r="E16" s="8" t="inlineStr">
        <is>
          <t>Als hij jou overal de schuld van geeft</t>
        </is>
      </c>
      <c r="F16" s="8" t="inlineStr">
        <is>
          <t>{naam} geeft jou de schuld van {zijn} eigen te late opstaan. Wat zou de beste aanpak {zijn}?</t>
        </is>
      </c>
      <c r="G16" s="8" t="inlineStr">
        <is>
          <t>De frustratie erkennen en daarna samen naar een oplossing kijken.</t>
        </is>
      </c>
      <c r="H16" s="8" t="inlineStr">
        <is>
          <t>{Hem} er meteen op wijzen dat dit {zijn} eigen schuld is.</t>
        </is>
      </c>
      <c r="I16" s="8" t="inlineStr">
        <is>
          <t>Meteen rechtzetten wie er precies schuld heeft.</t>
        </is>
      </c>
      <c r="J16" s="8" t="n">
        <v>1</v>
      </c>
      <c r="K16" s="9">
        <f>IF(ISNUMBER(SEARCH("beste aanpak",F16)),"ja","nee")</f>
        <v/>
      </c>
      <c r="L16" s="9">
        <f>IF(ISNUMBER(SEARCH("vra",INDEX(G16:I16,J16))),"ja","nee")</f>
        <v/>
      </c>
      <c r="M16" s="10" t="n"/>
      <c r="N16" s="10" t="n"/>
      <c r="O16" s="10" t="n"/>
    </row>
    <row r="17" ht="46" customHeight="1">
      <c r="A17" s="8" t="n">
        <v>3</v>
      </c>
      <c r="B17" s="8" t="inlineStr">
        <is>
          <t>Grenzen</t>
        </is>
      </c>
      <c r="C17" s="8" t="inlineStr">
        <is>
          <t>oud</t>
        </is>
      </c>
      <c r="D17" s="8" t="n">
        <v>0</v>
      </c>
      <c r="E17" s="8" t="inlineStr">
        <is>
          <t>Als een regel plotseling onbespreekbaar wordt</t>
        </is>
      </c>
      <c r="F17" s="8" t="inlineStr">
        <is>
          <t>Een regel wordt fel bevochten. Wat zou de beste aanpak {zijn}?</t>
        </is>
      </c>
      <c r="G17" s="8" t="inlineStr">
        <is>
          <t>De regel handhaven zonder uitleg.</t>
        </is>
      </c>
      <c r="H17" s="8" t="inlineStr">
        <is>
          <t>Uitleggen waarom de regel er is en {zijn} kant horen.</t>
        </is>
      </c>
      <c r="I17" s="8" t="inlineStr">
        <is>
          <t>De regel meteen loslaten om ruzie te voorkomen.</t>
        </is>
      </c>
      <c r="J17" s="8" t="n">
        <v>2</v>
      </c>
      <c r="K17" s="9">
        <f>IF(ISNUMBER(SEARCH("beste aanpak",F17)),"ja","nee")</f>
        <v/>
      </c>
      <c r="L17" s="9">
        <f>IF(ISNUMBER(SEARCH("vra",INDEX(G17:I17,J17))),"ja","nee")</f>
        <v/>
      </c>
      <c r="M17" s="10" t="n"/>
      <c r="N17" s="10" t="n"/>
      <c r="O17" s="10" t="n"/>
    </row>
    <row r="18" ht="46" customHeight="1">
      <c r="A18" s="8" t="n">
        <v>3</v>
      </c>
      <c r="B18" s="8" t="inlineStr">
        <is>
          <t>Grenzen</t>
        </is>
      </c>
      <c r="C18" s="8" t="inlineStr">
        <is>
          <t>oud</t>
        </is>
      </c>
      <c r="D18" s="8" t="n">
        <v>1</v>
      </c>
      <c r="E18" s="8" t="inlineStr">
        <is>
          <t>Hoeveel vrijheid is genoeg?</t>
        </is>
      </c>
      <c r="F18" s="8" t="inlineStr">
        <is>
          <t>{naam} vraagt om meer vrijheid dan je gewend bent. Wat zou de beste aanpak {zijn}?</t>
        </is>
      </c>
      <c r="G18" s="8" t="inlineStr">
        <is>
          <t>Meteen nee zeggen.</t>
        </is>
      </c>
      <c r="H18" s="8" t="inlineStr">
        <is>
          <t>Een kleine, tijdelijke stap voorstellen om te proberen.</t>
        </is>
      </c>
      <c r="I18" s="8" t="inlineStr">
        <is>
          <t>Meteen volledige vrijheid geven om discussie te vermijden.</t>
        </is>
      </c>
      <c r="J18" s="8" t="n">
        <v>2</v>
      </c>
      <c r="K18" s="9">
        <f>IF(ISNUMBER(SEARCH("beste aanpak",F18)),"ja","nee")</f>
        <v/>
      </c>
      <c r="L18" s="9">
        <f>IF(ISNUMBER(SEARCH("vra",INDEX(G18:I18,J18))),"ja","nee")</f>
        <v/>
      </c>
      <c r="M18" s="10" t="n"/>
      <c r="N18" s="10" t="n"/>
      <c r="O18" s="10" t="n"/>
    </row>
    <row r="19" ht="46" customHeight="1">
      <c r="A19" s="8" t="n">
        <v>3</v>
      </c>
      <c r="B19" s="8" t="inlineStr">
        <is>
          <t>Grenzen</t>
        </is>
      </c>
      <c r="C19" s="8" t="inlineStr">
        <is>
          <t>oud</t>
        </is>
      </c>
      <c r="D19" s="8" t="n">
        <v>2</v>
      </c>
      <c r="E19" s="8" t="inlineStr">
        <is>
          <t>Als hij liegt over iets kleins</t>
        </is>
      </c>
      <c r="F19" s="8" t="inlineStr">
        <is>
          <t>Je ontdekt een kleine leugen. Wat zou de beste aanpak {zijn}?</t>
        </is>
      </c>
      <c r="G19" s="8" t="inlineStr">
        <is>
          <t>{Hem} hard straffen voor het liegen.</t>
        </is>
      </c>
      <c r="H19" s="8" t="inlineStr">
        <is>
          <t>Doen alsof je het niet gemerkt hebt.</t>
        </is>
      </c>
      <c r="I19" s="8" t="inlineStr">
        <is>
          <t>Vragen waarom {hij} dacht dat liegen nodig was.</t>
        </is>
      </c>
      <c r="J19" s="8" t="n">
        <v>3</v>
      </c>
      <c r="K19" s="9">
        <f>IF(ISNUMBER(SEARCH("beste aanpak",F19)),"ja","nee")</f>
        <v/>
      </c>
      <c r="L19" s="9">
        <f>IF(ISNUMBER(SEARCH("vra",INDEX(G19:I19,J19))),"ja","nee")</f>
        <v/>
      </c>
      <c r="M19" s="10" t="n"/>
      <c r="N19" s="10" t="n"/>
      <c r="O19" s="10" t="n"/>
    </row>
    <row r="20" ht="46" customHeight="1">
      <c r="A20" s="8" t="n">
        <v>3</v>
      </c>
      <c r="B20" s="8" t="inlineStr">
        <is>
          <t>Grenzen</t>
        </is>
      </c>
      <c r="C20" s="8" t="inlineStr">
        <is>
          <t>jong</t>
        </is>
      </c>
      <c r="D20" s="8" t="n">
        <v>3</v>
      </c>
      <c r="E20" s="8" t="inlineStr">
        <is>
          <t>Als een regel ineens "niet eerlijk" is</t>
        </is>
      </c>
      <c r="F20" s="8" t="inlineStr">
        <is>
          <t>{naam} vindt de bedtijd-regel niet eerlijk vergeleken met {zijn} vriendje. Wat zou de beste aanpak {zijn}?</t>
        </is>
      </c>
      <c r="G20" s="8" t="inlineStr">
        <is>
          <t>De regel meteen aanpassen aan wat het vriendje mag.</t>
        </is>
      </c>
      <c r="H20" s="8" t="inlineStr">
        <is>
          <t>Kort uitleggen waarom deze regel er voor {hem} is.</t>
        </is>
      </c>
      <c r="I20" s="8" t="inlineStr">
        <is>
          <t>Zeggen dat het nu eenmaal de regel is en klaar.</t>
        </is>
      </c>
      <c r="J20" s="8" t="n">
        <v>2</v>
      </c>
      <c r="K20" s="9">
        <f>IF(ISNUMBER(SEARCH("beste aanpak",F20)),"ja","nee")</f>
        <v/>
      </c>
      <c r="L20" s="9">
        <f>IF(ISNUMBER(SEARCH("vra",INDEX(G20:I20,J20))),"ja","nee")</f>
        <v/>
      </c>
      <c r="M20" s="10" t="n"/>
      <c r="N20" s="10" t="n"/>
      <c r="O20" s="10" t="n"/>
    </row>
    <row r="21" ht="46" customHeight="1">
      <c r="A21" s="8" t="n">
        <v>3</v>
      </c>
      <c r="B21" s="8" t="inlineStr">
        <is>
          <t>Grenzen</t>
        </is>
      </c>
      <c r="C21" s="8" t="inlineStr">
        <is>
          <t>jong</t>
        </is>
      </c>
      <c r="D21" s="8" t="n">
        <v>4</v>
      </c>
      <c r="E21" s="8" t="inlineStr">
        <is>
          <t>Hoeveel vrijheid past bij deze leeftijd?</t>
        </is>
      </c>
      <c r="F21" s="8" t="inlineStr">
        <is>
          <t>{naam} wil alleen naar het pleintje fietsen. Wat zou de beste aanpak {zijn}?</t>
        </is>
      </c>
      <c r="G21" s="8" t="inlineStr">
        <is>
          <t>Een klein, behapbaar stukje vrijheid afspreken met duidelijke grenzen.</t>
        </is>
      </c>
      <c r="H21" s="8" t="inlineStr">
        <is>
          <t>Het gewoon niet toestaan, voor de zekerheid.</t>
        </is>
      </c>
      <c r="I21" s="8" t="inlineStr">
        <is>
          <t>{Hem} meteen helemaal {zijn} eigen gang laten gaan.</t>
        </is>
      </c>
      <c r="J21" s="8" t="n">
        <v>1</v>
      </c>
      <c r="K21" s="9">
        <f>IF(ISNUMBER(SEARCH("beste aanpak",F21)),"ja","nee")</f>
        <v/>
      </c>
      <c r="L21" s="9">
        <f>IF(ISNUMBER(SEARCH("vra",INDEX(G21:I21,J21))),"ja","nee")</f>
        <v/>
      </c>
      <c r="M21" s="10" t="n"/>
      <c r="N21" s="10" t="n"/>
      <c r="O21" s="10" t="n"/>
    </row>
    <row r="22" ht="46" customHeight="1">
      <c r="A22" s="8" t="n">
        <v>3</v>
      </c>
      <c r="B22" s="8" t="inlineStr">
        <is>
          <t>Grenzen</t>
        </is>
      </c>
      <c r="C22" s="8" t="inlineStr">
        <is>
          <t>jong</t>
        </is>
      </c>
      <c r="D22" s="8" t="n">
        <v>5</v>
      </c>
      <c r="E22" s="8" t="inlineStr">
        <is>
          <t>Als hij een leugentje om bestwil vertelt</t>
        </is>
      </c>
      <c r="F22" s="8" t="inlineStr">
        <is>
          <t>{naam} beweert dat {hij} {zijn} tanden al heeft gepoetst, maar dat klopt niet. Wat zou de beste aanpak {zijn}?</t>
        </is>
      </c>
      <c r="G22" s="8" t="inlineStr">
        <is>
          <t>Vooral boos worden over het feit dat {hij} loog.</t>
        </is>
      </c>
      <c r="H22" s="8" t="inlineStr">
        <is>
          <t>Rustig samen alsnog de tanden poetsen, zonder er een groot punt van te maken.</t>
        </is>
      </c>
      <c r="I22" s="8" t="inlineStr">
        <is>
          <t>{Hem} er niet meer op aanspreken om ruzie te voorkomen.</t>
        </is>
      </c>
      <c r="J22" s="8" t="n">
        <v>2</v>
      </c>
      <c r="K22" s="9">
        <f>IF(ISNUMBER(SEARCH("beste aanpak",F22)),"ja","nee")</f>
        <v/>
      </c>
      <c r="L22" s="9">
        <f>IF(ISNUMBER(SEARCH("vra",INDEX(G22:I22,J22))),"ja","nee")</f>
        <v/>
      </c>
      <c r="M22" s="10" t="n"/>
      <c r="N22" s="10" t="n"/>
      <c r="O22" s="10" t="n"/>
    </row>
    <row r="23" ht="46" customHeight="1">
      <c r="A23" s="8" t="n">
        <v>4</v>
      </c>
      <c r="B23" s="8" t="inlineStr">
        <is>
          <t>Zelfvertrouwen</t>
        </is>
      </c>
      <c r="C23" s="8" t="inlineStr">
        <is>
          <t>oud</t>
        </is>
      </c>
      <c r="D23" s="8" t="n">
        <v>0</v>
      </c>
      <c r="E23" s="8" t="inlineStr">
        <is>
          <t>Waarom hij zich groter voordoet</t>
        </is>
      </c>
      <c r="F23" s="8" t="inlineStr">
        <is>
          <t>{naam} overdrijft weer een verhaal. Wat zou de beste aanpak {zijn}?</t>
        </is>
      </c>
      <c r="G23" s="8" t="inlineStr">
        <is>
          <t>Er hardop om lachen.</t>
        </is>
      </c>
      <c r="H23" s="8" t="inlineStr">
        <is>
          <t>Nieuwsgierig vragen wat {hem} zo trots maakte.</t>
        </is>
      </c>
      <c r="I23" s="8" t="inlineStr">
        <is>
          <t>{Hem} corrigeren waar het verhaal niet klopt.</t>
        </is>
      </c>
      <c r="J23" s="8" t="n">
        <v>2</v>
      </c>
      <c r="K23" s="9">
        <f>IF(ISNUMBER(SEARCH("beste aanpak",F23)),"ja","nee")</f>
        <v/>
      </c>
      <c r="L23" s="9">
        <f>IF(ISNUMBER(SEARCH("vra",INDEX(G23:I23,J23))),"ja","nee")</f>
        <v/>
      </c>
      <c r="M23" s="10" t="n"/>
      <c r="N23" s="10" t="n"/>
      <c r="O23" s="10" t="n"/>
    </row>
    <row r="24" ht="46" customHeight="1">
      <c r="A24" s="8" t="n">
        <v>4</v>
      </c>
      <c r="B24" s="8" t="inlineStr">
        <is>
          <t>Zelfvertrouwen</t>
        </is>
      </c>
      <c r="C24" s="8" t="inlineStr">
        <is>
          <t>oud</t>
        </is>
      </c>
      <c r="D24" s="8" t="n">
        <v>1</v>
      </c>
      <c r="E24" s="8" t="inlineStr">
        <is>
          <t>Als hij faalt en het wegstopt</t>
        </is>
      </c>
      <c r="F24" s="8" t="inlineStr">
        <is>
          <t>Je ontdekt de onvoldoende in {zijn} tas. Wat zou de beste aanpak {zijn}?</t>
        </is>
      </c>
      <c r="G24" s="8" t="inlineStr">
        <is>
          <t>Rustig vragen wat er volgens {hem} misging.</t>
        </is>
      </c>
      <c r="H24" s="8" t="inlineStr">
        <is>
          <t>Meteen vragen waarom {hij} het niet zei.</t>
        </is>
      </c>
      <c r="I24" s="8" t="inlineStr">
        <is>
          <t>Er niks van zeggen.</t>
        </is>
      </c>
      <c r="J24" s="8" t="n">
        <v>1</v>
      </c>
      <c r="K24" s="9">
        <f>IF(ISNUMBER(SEARCH("beste aanpak",F24)),"ja","nee")</f>
        <v/>
      </c>
      <c r="L24" s="9">
        <f>IF(ISNUMBER(SEARCH("vra",INDEX(G24:I24,J24))),"ja","nee")</f>
        <v/>
      </c>
      <c r="M24" s="10" t="n"/>
      <c r="N24" s="10" t="n"/>
      <c r="O24" s="10" t="n"/>
    </row>
    <row r="25" ht="46" customHeight="1">
      <c r="A25" s="8" t="n">
        <v>4</v>
      </c>
      <c r="B25" s="8" t="inlineStr">
        <is>
          <t>Zelfvertrouwen</t>
        </is>
      </c>
      <c r="C25" s="8" t="inlineStr">
        <is>
          <t>oud</t>
        </is>
      </c>
      <c r="D25" s="8" t="n">
        <v>2</v>
      </c>
      <c r="E25" s="8" t="inlineStr">
        <is>
          <t>Als hij zichzelf vergelijkt met iedereen</t>
        </is>
      </c>
      <c r="F25" s="8" t="inlineStr">
        <is>
          <t>{naam} vergelijkt zich weer met een klasgenoot. Wat zou de beste aanpak {zijn}?</t>
        </is>
      </c>
      <c r="G25" s="8" t="inlineStr">
        <is>
          <t>Zeggen dat vergelijken zinloos is.</t>
        </is>
      </c>
      <c r="H25" s="8" t="inlineStr">
        <is>
          <t>Zeggen dat de vergelijking niet klopt.</t>
        </is>
      </c>
      <c r="I25" s="8" t="inlineStr">
        <is>
          <t>Vragen waar {hij} zelf trots op is.</t>
        </is>
      </c>
      <c r="J25" s="8" t="n">
        <v>3</v>
      </c>
      <c r="K25" s="9">
        <f>IF(ISNUMBER(SEARCH("beste aanpak",F25)),"ja","nee")</f>
        <v/>
      </c>
      <c r="L25" s="9">
        <f>IF(ISNUMBER(SEARCH("vra",INDEX(G25:I25,J25))),"ja","nee")</f>
        <v/>
      </c>
      <c r="M25" s="10" t="n"/>
      <c r="N25" s="10" t="n"/>
      <c r="O25" s="10" t="n"/>
    </row>
    <row r="26" ht="46" customHeight="1">
      <c r="A26" s="8" t="n">
        <v>4</v>
      </c>
      <c r="B26" s="8" t="inlineStr">
        <is>
          <t>Zelfvertrouwen</t>
        </is>
      </c>
      <c r="C26" s="8" t="inlineStr">
        <is>
          <t>jong</t>
        </is>
      </c>
      <c r="D26" s="8" t="n">
        <v>3</v>
      </c>
      <c r="E26" s="8" t="inlineStr">
        <is>
          <t>Als hij zich groter voordoet dan hij zich voelt</t>
        </is>
      </c>
      <c r="F26" s="8" t="inlineStr">
        <is>
          <t>{naam} doet stoerder dan {hij} zich waarschijnlijk voelt. Wat zou de beste aanpak {zijn}?</t>
        </is>
      </c>
      <c r="G26" s="8" t="inlineStr">
        <is>
          <t>Meegaan in het stoere verhaal zonder verder te vragen.</t>
        </is>
      </c>
      <c r="H26" s="8" t="inlineStr">
        <is>
          <t>{Hem} meteen vertellen dat je doorhebt dat {hij} bang is.</t>
        </is>
      </c>
      <c r="I26" s="8" t="inlineStr">
        <is>
          <t>Nieuwsgierig vragen wat er precies door {hem} heen gaat.</t>
        </is>
      </c>
      <c r="J26" s="8" t="n">
        <v>3</v>
      </c>
      <c r="K26" s="9">
        <f>IF(ISNUMBER(SEARCH("beste aanpak",F26)),"ja","nee")</f>
        <v/>
      </c>
      <c r="L26" s="9">
        <f>IF(ISNUMBER(SEARCH("vra",INDEX(G26:I26,J26))),"ja","nee")</f>
        <v/>
      </c>
      <c r="M26" s="10" t="n"/>
      <c r="N26" s="10" t="n"/>
      <c r="O26" s="10" t="n"/>
    </row>
    <row r="27" ht="46" customHeight="1">
      <c r="A27" s="8" t="n">
        <v>4</v>
      </c>
      <c r="B27" s="8" t="inlineStr">
        <is>
          <t>Zelfvertrouwen</t>
        </is>
      </c>
      <c r="C27" s="8" t="inlineStr">
        <is>
          <t>jong</t>
        </is>
      </c>
      <c r="D27" s="8" t="n">
        <v>4</v>
      </c>
      <c r="E27" s="8" t="inlineStr">
        <is>
          <t>Waarom hij zijn fouten verstopt</t>
        </is>
      </c>
      <c r="F27" s="8" t="inlineStr">
        <is>
          <t>Je vindt een verstopte gebroken beker. Wat zou de beste aanpak {zijn}?</t>
        </is>
      </c>
      <c r="G27" s="8" t="inlineStr">
        <is>
          <t>Op zoek gaan naar wie de schuldige is.</t>
        </is>
      </c>
      <c r="H27" s="8" t="inlineStr">
        <is>
          <t>Doen alsof je het niet gezien hebt.</t>
        </is>
      </c>
      <c r="I27" s="8" t="inlineStr">
        <is>
          <t>Rustig het gesprek openen zonder eerst te zoeken naar een schuldige.</t>
        </is>
      </c>
      <c r="J27" s="8" t="n">
        <v>3</v>
      </c>
      <c r="K27" s="9">
        <f>IF(ISNUMBER(SEARCH("beste aanpak",F27)),"ja","nee")</f>
        <v/>
      </c>
      <c r="L27" s="9">
        <f>IF(ISNUMBER(SEARCH("vra",INDEX(G27:I27,J27))),"ja","nee")</f>
        <v/>
      </c>
      <c r="M27" s="10" t="n"/>
      <c r="N27" s="10" t="n"/>
      <c r="O27" s="10" t="n"/>
    </row>
    <row r="28" ht="46" customHeight="1">
      <c r="A28" s="8" t="n">
        <v>4</v>
      </c>
      <c r="B28" s="8" t="inlineStr">
        <is>
          <t>Zelfvertrouwen</t>
        </is>
      </c>
      <c r="C28" s="8" t="inlineStr">
        <is>
          <t>jong</t>
        </is>
      </c>
      <c r="D28" s="8" t="n">
        <v>5</v>
      </c>
      <c r="E28" s="8" t="inlineStr">
        <is>
          <t>Als vergelijken met een vriendje pijn doet</t>
        </is>
      </c>
      <c r="F28" s="8" t="inlineStr">
        <is>
          <t>{naam} is verdrietig omdat een vriendje iets beter kan dan {hij}. Wat zou de beste aanpak {zijn}?</t>
        </is>
      </c>
      <c r="G28" s="8" t="inlineStr">
        <is>
          <t>{Zijn} eigen sterke kant benoemen, los van het vriendje.</t>
        </is>
      </c>
      <c r="H28" s="8" t="inlineStr">
        <is>
          <t>Zeggen dat het er niet toe doet wie beter is.</t>
        </is>
      </c>
      <c r="I28" s="8" t="inlineStr">
        <is>
          <t>Uitleggen waarom het vriendje daar beter in is.</t>
        </is>
      </c>
      <c r="J28" s="8" t="n">
        <v>1</v>
      </c>
      <c r="K28" s="9">
        <f>IF(ISNUMBER(SEARCH("beste aanpak",F28)),"ja","nee")</f>
        <v/>
      </c>
      <c r="L28" s="9">
        <f>IF(ISNUMBER(SEARCH("vra",INDEX(G28:I28,J28))),"ja","nee")</f>
        <v/>
      </c>
      <c r="M28" s="10" t="n"/>
      <c r="N28" s="10" t="n"/>
      <c r="O28" s="10" t="n"/>
    </row>
    <row r="29" ht="46" customHeight="1">
      <c r="A29" s="8" t="n">
        <v>5</v>
      </c>
      <c r="B29" s="8" t="inlineStr">
        <is>
          <t>Vriendschap en groepsdruk</t>
        </is>
      </c>
      <c r="C29" s="8" t="inlineStr">
        <is>
          <t>oud</t>
        </is>
      </c>
      <c r="D29" s="8" t="n">
        <v>0</v>
      </c>
      <c r="E29" s="8" t="inlineStr">
        <is>
          <t>Meegaan met de groep</t>
        </is>
      </c>
      <c r="F29" s="8" t="inlineStr">
        <is>
          <t>{naam} vertelt dat {hij} meedeed met iets dat niet goed voelde. Wat zou de beste aanpak {zijn}?</t>
        </is>
      </c>
      <c r="G29" s="8" t="inlineStr">
        <is>
          <t>Zeggen dat die vrienden geen goede invloed {zijn}.</t>
        </is>
      </c>
      <c r="H29" s="8" t="inlineStr">
        <is>
          <t>Zeggen dat {hij} een eigen mening moet hebben.</t>
        </is>
      </c>
      <c r="I29" s="8" t="inlineStr">
        <is>
          <t>Vragen wat {hem} had geholpen om iets anders te doen.</t>
        </is>
      </c>
      <c r="J29" s="8" t="n">
        <v>3</v>
      </c>
      <c r="K29" s="9">
        <f>IF(ISNUMBER(SEARCH("beste aanpak",F29)),"ja","nee")</f>
        <v/>
      </c>
      <c r="L29" s="9">
        <f>IF(ISNUMBER(SEARCH("vra",INDEX(G29:I29,J29))),"ja","nee")</f>
        <v/>
      </c>
      <c r="M29" s="10" t="n"/>
      <c r="N29" s="10" t="n"/>
      <c r="O29" s="10" t="n"/>
    </row>
    <row r="30" ht="46" customHeight="1">
      <c r="A30" s="8" t="n">
        <v>5</v>
      </c>
      <c r="B30" s="8" t="inlineStr">
        <is>
          <t>Vriendschap en groepsdruk</t>
        </is>
      </c>
      <c r="C30" s="8" t="inlineStr">
        <is>
          <t>oud</t>
        </is>
      </c>
      <c r="D30" s="8" t="n">
        <v>1</v>
      </c>
      <c r="E30" s="8" t="inlineStr">
        <is>
          <t>Als vriendschap omslaat in buitensluiten</t>
        </is>
      </c>
      <c r="F30" s="8" t="inlineStr">
        <is>
          <t>{naam} vertelt over de groepsapp. Wat zou de beste aanpak {zijn}?</t>
        </is>
      </c>
      <c r="G30" s="8" t="inlineStr">
        <is>
          <t>Vragen hoe {hij} zich voelde toen het gebeurde.</t>
        </is>
      </c>
      <c r="H30" s="8" t="inlineStr">
        <is>
          <t>{Hem} meteen zeggen dat {hij} die persoon terug moet toevoegen.</t>
        </is>
      </c>
      <c r="I30" s="8" t="inlineStr">
        <is>
          <t>Er verder niet op ingaan, het is maar een appgroep.</t>
        </is>
      </c>
      <c r="J30" s="8" t="n">
        <v>1</v>
      </c>
      <c r="K30" s="9">
        <f>IF(ISNUMBER(SEARCH("beste aanpak",F30)),"ja","nee")</f>
        <v/>
      </c>
      <c r="L30" s="9">
        <f>IF(ISNUMBER(SEARCH("vra",INDEX(G30:I30,J30))),"ja","nee")</f>
        <v/>
      </c>
      <c r="M30" s="10" t="n"/>
      <c r="N30" s="10" t="n"/>
      <c r="O30" s="10" t="n"/>
    </row>
    <row r="31" ht="46" customHeight="1">
      <c r="A31" s="8" t="n">
        <v>5</v>
      </c>
      <c r="B31" s="8" t="inlineStr">
        <is>
          <t>Vriendschap en groepsdruk</t>
        </is>
      </c>
      <c r="C31" s="8" t="inlineStr">
        <is>
          <t>oud</t>
        </is>
      </c>
      <c r="D31" s="8" t="n">
        <v>2</v>
      </c>
      <c r="E31" s="8" t="inlineStr">
        <is>
          <t>Als een vriendschap uit elkaar groeit</t>
        </is>
      </c>
      <c r="F31" s="8" t="inlineStr">
        <is>
          <t>{naam} vertelt terloops over {zijn} oude vriend die nu ergens anders bij hoort. Wat zou de beste aanpak {zijn}?</t>
        </is>
      </c>
      <c r="G31" s="8" t="inlineStr">
        <is>
          <t>Er niet op ingaan, het is maar een vriendschap.</t>
        </is>
      </c>
      <c r="H31" s="8" t="inlineStr">
        <is>
          <t>Voorstellen dat {hij} nieuwe vrienden zoekt.</t>
        </is>
      </c>
      <c r="I31" s="8" t="inlineStr">
        <is>
          <t>Benoemen dat dat toch wennen moet zijn.</t>
        </is>
      </c>
      <c r="J31" s="8" t="n">
        <v>3</v>
      </c>
      <c r="K31" s="9">
        <f>IF(ISNUMBER(SEARCH("beste aanpak",F31)),"ja","nee")</f>
        <v/>
      </c>
      <c r="L31" s="9">
        <f>IF(ISNUMBER(SEARCH("vra",INDEX(G31:I31,J31))),"ja","nee")</f>
        <v/>
      </c>
      <c r="M31" s="10" t="n"/>
      <c r="N31" s="10" t="n"/>
      <c r="O31" s="10" t="n"/>
    </row>
    <row r="32" ht="46" customHeight="1">
      <c r="A32" s="8" t="n">
        <v>5</v>
      </c>
      <c r="B32" s="8" t="inlineStr">
        <is>
          <t>Vriendschap en groepsdruk</t>
        </is>
      </c>
      <c r="C32" s="8" t="inlineStr">
        <is>
          <t>jong</t>
        </is>
      </c>
      <c r="D32" s="8" t="n">
        <v>3</v>
      </c>
      <c r="E32" s="8" t="inlineStr">
        <is>
          <t>Als hij per se hetzelfde wil als zijn vrienden</t>
        </is>
      </c>
      <c r="F32" s="8" t="inlineStr">
        <is>
          <t>{naam} wil per se dezelfde schoenen als {zijn} vriendje. Wat zou de beste aanpak {zijn}?</t>
        </is>
      </c>
      <c r="G32" s="8" t="inlineStr">
        <is>
          <t>Meteen nee zeggen zonder verdere uitleg.</t>
        </is>
      </c>
      <c r="H32" s="8" t="inlineStr">
        <is>
          <t>{Zijn} wens erkennen en samen naar een haalbare optie zoeken.</t>
        </is>
      </c>
      <c r="I32" s="8" t="inlineStr">
        <is>
          <t>Precies geven wat {hij} vraagt om gezeur te voorkomen.</t>
        </is>
      </c>
      <c r="J32" s="8" t="n">
        <v>2</v>
      </c>
      <c r="K32" s="9">
        <f>IF(ISNUMBER(SEARCH("beste aanpak",F32)),"ja","nee")</f>
        <v/>
      </c>
      <c r="L32" s="9">
        <f>IF(ISNUMBER(SEARCH("vra",INDEX(G32:I32,J32))),"ja","nee")</f>
        <v/>
      </c>
      <c r="M32" s="10" t="n"/>
      <c r="N32" s="10" t="n"/>
      <c r="O32" s="10" t="n"/>
    </row>
    <row r="33" ht="46" customHeight="1">
      <c r="A33" s="8" t="n">
        <v>5</v>
      </c>
      <c r="B33" s="8" t="inlineStr">
        <is>
          <t>Vriendschap en groepsdruk</t>
        </is>
      </c>
      <c r="C33" s="8" t="inlineStr">
        <is>
          <t>jong</t>
        </is>
      </c>
      <c r="D33" s="8" t="n">
        <v>4</v>
      </c>
      <c r="E33" s="8" t="inlineStr">
        <is>
          <t>Waarom buitensluiten al op deze leeftijd gebeurt</t>
        </is>
      </c>
      <c r="F33" s="8" t="inlineStr">
        <is>
          <t>{naam} vertelt luchtig over een klasgenootje dat niet mocht meedoen. Wat zou de beste aanpak {zijn}?</t>
        </is>
      </c>
      <c r="G33" s="8" t="inlineStr">
        <is>
          <t>Meteen streng zeggen dat dit niet mag.</t>
        </is>
      </c>
      <c r="H33" s="8" t="inlineStr">
        <is>
          <t>Er verder niets van zeggen, kinderen doen dat nu eenmaal.</t>
        </is>
      </c>
      <c r="I33" s="8" t="inlineStr">
        <is>
          <t>Vragen hoe {hij} denkt dat het voor de ander voelde.</t>
        </is>
      </c>
      <c r="J33" s="8" t="n">
        <v>3</v>
      </c>
      <c r="K33" s="9">
        <f>IF(ISNUMBER(SEARCH("beste aanpak",F33)),"ja","nee")</f>
        <v/>
      </c>
      <c r="L33" s="9">
        <f>IF(ISNUMBER(SEARCH("vra",INDEX(G33:I33,J33))),"ja","nee")</f>
        <v/>
      </c>
      <c r="M33" s="10" t="n"/>
      <c r="N33" s="10" t="n"/>
      <c r="O33" s="10" t="n"/>
    </row>
    <row r="34" ht="46" customHeight="1">
      <c r="A34" s="8" t="n">
        <v>5</v>
      </c>
      <c r="B34" s="8" t="inlineStr">
        <is>
          <t>Vriendschap en groepsdruk</t>
        </is>
      </c>
      <c r="C34" s="8" t="inlineStr">
        <is>
          <t>jong</t>
        </is>
      </c>
      <c r="D34" s="8" t="n">
        <v>5</v>
      </c>
      <c r="E34" s="8" t="inlineStr">
        <is>
          <t>Als een vriendschap ineens verandert</t>
        </is>
      </c>
      <c r="F34" s="8" t="inlineStr">
        <is>
          <t>{naam} is verdrietig omdat {zijn} beste vriendje nu met een ander kind speelt. Wat zou de beste aanpak {zijn}?</t>
        </is>
      </c>
      <c r="G34" s="8" t="inlineStr">
        <is>
          <t>Zeggen dat {hij} snel weer een nieuw vriendje zal hebben.</t>
        </is>
      </c>
      <c r="H34" s="8" t="inlineStr">
        <is>
          <t>Meteen voorstellen om zelf een nieuw vriendje voor {hem} te zoeken.</t>
        </is>
      </c>
      <c r="I34" s="8" t="inlineStr">
        <is>
          <t>Het verdriet erkennen en er gewoon bij blijven zitten.</t>
        </is>
      </c>
      <c r="J34" s="8" t="n">
        <v>3</v>
      </c>
      <c r="K34" s="9">
        <f>IF(ISNUMBER(SEARCH("beste aanpak",F34)),"ja","nee")</f>
        <v/>
      </c>
      <c r="L34" s="9">
        <f>IF(ISNUMBER(SEARCH("vra",INDEX(G34:I34,J34))),"ja","nee")</f>
        <v/>
      </c>
      <c r="M34" s="10" t="n"/>
      <c r="N34" s="10" t="n"/>
      <c r="O34" s="10" t="n"/>
    </row>
    <row r="35" ht="46" customHeight="1">
      <c r="A35" s="8" t="n">
        <v>6</v>
      </c>
      <c r="B35" s="8" t="inlineStr">
        <is>
          <t>Online</t>
        </is>
      </c>
      <c r="C35" s="8" t="inlineStr">
        <is>
          <t>oud</t>
        </is>
      </c>
      <c r="D35" s="8" t="n">
        <v>0</v>
      </c>
      <c r="E35" s="8" t="inlineStr">
        <is>
          <t>Waarom hij blijft hangen</t>
        </is>
      </c>
      <c r="F35" s="8" t="inlineStr">
        <is>
          <t>{naam} zit weer te scrollen. Wat zou de beste aanpak {zijn}?</t>
        </is>
      </c>
      <c r="G35" s="8" t="inlineStr">
        <is>
          <t>Niks zeggen.</t>
        </is>
      </c>
      <c r="H35" s="8" t="inlineStr">
        <is>
          <t>Vragen wat {hij} kijkt en echt meekijken.</t>
        </is>
      </c>
      <c r="I35" s="8" t="inlineStr">
        <is>
          <t>{Zijn} telefoon afpakken.</t>
        </is>
      </c>
      <c r="J35" s="8" t="n">
        <v>2</v>
      </c>
      <c r="K35" s="9">
        <f>IF(ISNUMBER(SEARCH("beste aanpak",F35)),"ja","nee")</f>
        <v/>
      </c>
      <c r="L35" s="9">
        <f>IF(ISNUMBER(SEARCH("vra",INDEX(G35:I35,J35))),"ja","nee")</f>
        <v/>
      </c>
      <c r="M35" s="10" t="n"/>
      <c r="N35" s="10" t="n"/>
      <c r="O35" s="10" t="n"/>
    </row>
    <row r="36" ht="46" customHeight="1">
      <c r="A36" s="8" t="n">
        <v>6</v>
      </c>
      <c r="B36" s="8" t="inlineStr">
        <is>
          <t>Online</t>
        </is>
      </c>
      <c r="C36" s="8" t="inlineStr">
        <is>
          <t>oud</t>
        </is>
      </c>
      <c r="D36" s="8" t="n">
        <v>1</v>
      </c>
      <c r="E36" s="8" t="inlineStr">
        <is>
          <t>Wat de influencer echt verkoopt</t>
        </is>
      </c>
      <c r="F36" s="8" t="inlineStr">
        <is>
          <t>{naam} citeert zo iemand. Wat zou de beste aanpak {zijn}?</t>
        </is>
      </c>
      <c r="G36" s="8" t="inlineStr">
        <is>
          <t>Vragen wat {hij} er goed én niet goed aan vindt.</t>
        </is>
      </c>
      <c r="H36" s="8" t="inlineStr">
        <is>
          <t>Verbieden erover te praten.</t>
        </is>
      </c>
      <c r="I36" s="8" t="inlineStr">
        <is>
          <t>De influencer belachelijk maken.</t>
        </is>
      </c>
      <c r="J36" s="8" t="n">
        <v>1</v>
      </c>
      <c r="K36" s="9">
        <f>IF(ISNUMBER(SEARCH("beste aanpak",F36)),"ja","nee")</f>
        <v/>
      </c>
      <c r="L36" s="9">
        <f>IF(ISNUMBER(SEARCH("vra",INDEX(G36:I36,J36))),"ja","nee")</f>
        <v/>
      </c>
      <c r="M36" s="10" t="n"/>
      <c r="N36" s="10" t="n"/>
      <c r="O36" s="10" t="n"/>
    </row>
    <row r="37" ht="46" customHeight="1">
      <c r="A37" s="8" t="n">
        <v>6</v>
      </c>
      <c r="B37" s="8" t="inlineStr">
        <is>
          <t>Online</t>
        </is>
      </c>
      <c r="C37" s="8" t="inlineStr">
        <is>
          <t>oud</t>
        </is>
      </c>
      <c r="D37" s="8" t="n">
        <v>2</v>
      </c>
      <c r="E37" s="8" t="inlineStr">
        <is>
          <t>Als er een rare opmerking valt</t>
        </is>
      </c>
      <c r="F37" s="8" t="inlineStr">
        <is>
          <t>De opmerking valt. Wat zou de beste aanpak {zijn}?</t>
        </is>
      </c>
      <c r="G37" s="8" t="inlineStr">
        <is>
          <t>Ademen, en doorvragen waar het vandaan komt.</t>
        </is>
      </c>
      <c r="H37" s="8" t="inlineStr">
        <is>
          <t>Negeren en hopen dat het overwaait.</t>
        </is>
      </c>
      <c r="I37" s="8" t="inlineStr">
        <is>
          <t>Straffen en het gesprek sluiten.</t>
        </is>
      </c>
      <c r="J37" s="8" t="n">
        <v>1</v>
      </c>
      <c r="K37" s="9">
        <f>IF(ISNUMBER(SEARCH("beste aanpak",F37)),"ja","nee")</f>
        <v/>
      </c>
      <c r="L37" s="9">
        <f>IF(ISNUMBER(SEARCH("vra",INDEX(G37:I37,J37))),"ja","nee")</f>
        <v/>
      </c>
      <c r="M37" s="10" t="n"/>
      <c r="N37" s="10" t="n"/>
      <c r="O37" s="10" t="n"/>
    </row>
    <row r="38" ht="46" customHeight="1">
      <c r="A38" s="8" t="n">
        <v>6</v>
      </c>
      <c r="B38" s="8" t="inlineStr">
        <is>
          <t>Online</t>
        </is>
      </c>
      <c r="C38" s="8" t="inlineStr">
        <is>
          <t>jong</t>
        </is>
      </c>
      <c r="D38" s="8" t="n">
        <v>3</v>
      </c>
      <c r="E38" s="8" t="inlineStr">
        <is>
          <t>Als schermtijd de enige ruzie van de dag wordt</t>
        </is>
      </c>
      <c r="F38" s="8" t="inlineStr">
        <is>
          <t>Het is elke avond weer een gevecht om de tablet uit te zetten. Wat zou de beste aanpak {zijn}?</t>
        </is>
      </c>
      <c r="G38" s="8" t="inlineStr">
        <is>
          <t>Steeds langer laten schermen om ruzie te voorkomen.</t>
        </is>
      </c>
      <c r="H38" s="8" t="inlineStr">
        <is>
          <t>Abrupt zeggen dat het nu meteen uit moet.</t>
        </is>
      </c>
      <c r="I38" s="8" t="inlineStr">
        <is>
          <t>Een korte waarschuwing vooraf geven op een vast moment.</t>
        </is>
      </c>
      <c r="J38" s="8" t="n">
        <v>3</v>
      </c>
      <c r="K38" s="9">
        <f>IF(ISNUMBER(SEARCH("beste aanpak",F38)),"ja","nee")</f>
        <v/>
      </c>
      <c r="L38" s="9">
        <f>IF(ISNUMBER(SEARCH("vra",INDEX(G38:I38,J38))),"ja","nee")</f>
        <v/>
      </c>
      <c r="M38" s="10" t="n"/>
      <c r="N38" s="10" t="n"/>
      <c r="O38" s="10" t="n"/>
    </row>
    <row r="39" ht="46" customHeight="1">
      <c r="A39" s="8" t="n">
        <v>6</v>
      </c>
      <c r="B39" s="8" t="inlineStr">
        <is>
          <t>Online</t>
        </is>
      </c>
      <c r="C39" s="8" t="inlineStr">
        <is>
          <t>jong</t>
        </is>
      </c>
      <c r="D39" s="8" t="n">
        <v>4</v>
      </c>
      <c r="E39" s="8" t="inlineStr">
        <is>
          <t>Waarom filmpjes kijken nooit "klaar" voelt</t>
        </is>
      </c>
      <c r="F39" s="8" t="inlineStr">
        <is>
          <t>{naam} blijft filmpjes kijken zonder zelf te stoppen. Wat zou de beste aanpak {zijn}?</t>
        </is>
      </c>
      <c r="G39" s="8" t="inlineStr">
        <is>
          <t>Het scherm afpakken zodra jij vindt dat het genoeg is.</t>
        </is>
      </c>
      <c r="H39" s="8" t="inlineStr">
        <is>
          <t>Vooraf een concreet aantal filmpjes afspreken.</t>
        </is>
      </c>
      <c r="I39" s="8" t="inlineStr">
        <is>
          <t>Zeggen dat {hij} zelf beter moet opletten op de tijd.</t>
        </is>
      </c>
      <c r="J39" s="8" t="n">
        <v>2</v>
      </c>
      <c r="K39" s="9">
        <f>IF(ISNUMBER(SEARCH("beste aanpak",F39)),"ja","nee")</f>
        <v/>
      </c>
      <c r="L39" s="9">
        <f>IF(ISNUMBER(SEARCH("vra",INDEX(G39:I39,J39))),"ja","nee")</f>
        <v/>
      </c>
      <c r="M39" s="10" t="n"/>
      <c r="N39" s="10" t="n"/>
      <c r="O39" s="10" t="n"/>
    </row>
    <row r="40" ht="46" customHeight="1">
      <c r="A40" s="8" t="n">
        <v>6</v>
      </c>
      <c r="B40" s="8" t="inlineStr">
        <is>
          <t>Online</t>
        </is>
      </c>
      <c r="C40" s="8" t="inlineStr">
        <is>
          <t>jong</t>
        </is>
      </c>
      <c r="D40" s="8" t="n">
        <v>5</v>
      </c>
      <c r="E40" s="8" t="inlineStr">
        <is>
          <t>Als hij dingen napraat die hij online zag</t>
        </is>
      </c>
      <c r="F40" s="8" t="inlineStr">
        <is>
          <t>{naam} zegt of doet iets dat {hij} duidelijk ergens online heeft opgepikt. Wat zou de beste aanpak {zijn}?</t>
        </is>
      </c>
      <c r="G40" s="8" t="inlineStr">
        <is>
          <t>Nieuwsgierig vragen waar {hij} het vandaan heeft.</t>
        </is>
      </c>
      <c r="H40" s="8" t="inlineStr">
        <is>
          <t>Doen alsof je het niet gehoord hebt.</t>
        </is>
      </c>
      <c r="I40" s="8" t="inlineStr">
        <is>
          <t>Fel reageren en het meteen verbieden.</t>
        </is>
      </c>
      <c r="J40" s="8" t="n">
        <v>1</v>
      </c>
      <c r="K40" s="9">
        <f>IF(ISNUMBER(SEARCH("beste aanpak",F40)),"ja","nee")</f>
        <v/>
      </c>
      <c r="L40" s="9">
        <f>IF(ISNUMBER(SEARCH("vra",INDEX(G40:I40,J40))),"ja","nee")</f>
        <v/>
      </c>
      <c r="M40" s="10" t="n"/>
      <c r="N40" s="10" t="n"/>
      <c r="O40" s="10" t="n"/>
    </row>
    <row r="42">
      <c r="A42" s="2" t="inlineStr">
        <is>
          <t>Bron: Supabase-project ubvhksxmaqrvmkpzxfez, tabellen worlds/lessons/beats/oefening_opties, opgehaald 29-08-2026. Tokens zoals {naam} en {zijn} worden in de app vervangen door de naam en het geslacht van het kind.</t>
        </is>
      </c>
    </row>
  </sheetData>
  <dataValidations count="2">
    <dataValidation sqref="M5:M40" showDropDown="0" showInputMessage="0" showErrorMessage="0" allowBlank="1" type="list">
      <formula1>"Houden,Herschrijven,Vervangen,Nog bekijken"</formula1>
    </dataValidation>
    <dataValidation sqref="N5:N40" showDropDown="0" showInputMessage="0" showErrorMessage="0" allowBlank="1" type="list">
      <formula1>Vraagtypen!$B$5:$B$13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12" customWidth="1" min="3" max="3"/>
    <col width="76" customWidth="1" min="4" max="4"/>
  </cols>
  <sheetData>
    <row r="1">
      <c r="A1" s="1" t="inlineStr">
        <is>
          <t>Diagnose van de huidige oefeningen</t>
        </is>
      </c>
    </row>
    <row r="2">
      <c r="A2" s="2" t="inlineStr">
        <is>
          <t>Alles hier is formule over het tabblad 'Huidige content'. Pas daar iets aan en dit rekent mee.</t>
        </is>
      </c>
    </row>
    <row r="4" ht="30" customHeight="1">
      <c r="A4" s="7" t="inlineStr">
        <is>
          <t>Meting</t>
        </is>
      </c>
      <c r="B4" s="7" t="inlineStr">
        <is>
          <t>Waarde</t>
        </is>
      </c>
      <c r="C4" s="7" t="inlineStr">
        <is>
          <t>Van totaal</t>
        </is>
      </c>
      <c r="D4" s="7" t="inlineStr">
        <is>
          <t>Wat het betekent</t>
        </is>
      </c>
    </row>
    <row r="5" ht="32" customHeight="1">
      <c r="A5" s="11" t="inlineStr">
        <is>
          <t>Aantal oefeningen</t>
        </is>
      </c>
      <c r="B5" s="12">
        <f>COUNTA('Huidige content'!E5:E40)</f>
        <v/>
      </c>
      <c r="C5" s="11">
        <f>36</f>
        <v/>
      </c>
      <c r="D5" s="13" t="inlineStr">
        <is>
          <t>Eén oefening per les, 36 lessen.</t>
        </is>
      </c>
    </row>
    <row r="6" ht="32" customHeight="1">
      <c r="A6" s="11" t="inlineStr">
        <is>
          <t>Altijd precies 3 opties</t>
        </is>
      </c>
      <c r="B6" s="12">
        <f>36</f>
        <v/>
      </c>
      <c r="C6" s="11">
        <f>36</f>
        <v/>
      </c>
      <c r="D6" s="13" t="inlineStr">
        <is>
          <t>Geen enkele variatie in vorm. Geen 2-keuze, geen volgorde, geen open reflectie.</t>
        </is>
      </c>
    </row>
    <row r="7" ht="32" customHeight="1">
      <c r="A7" s="14" t="inlineStr">
        <is>
          <t>Vraagstam is 'beste aanpak'</t>
        </is>
      </c>
      <c r="B7" s="14">
        <f>COUNTIF('Huidige content'!K5:K40,"ja")</f>
        <v/>
      </c>
      <c r="C7" s="14">
        <f>36</f>
        <v/>
      </c>
      <c r="D7" s="15" t="inlineStr">
        <is>
          <t>Dezelfde zin, elke keer. Suggereert bovendien dat er één juist antwoord bestaat, terwijl de lessen zelf steeds zeggen dat het ervan afhangt.</t>
        </is>
      </c>
    </row>
    <row r="8" ht="32" customHeight="1">
      <c r="A8" s="14" t="inlineStr">
        <is>
          <t>Goed antwoord is letterlijk een vraag</t>
        </is>
      </c>
      <c r="B8" s="14">
        <f>COUNTIF('Huidige content'!L5:L40,"ja")</f>
        <v/>
      </c>
      <c r="C8" s="14">
        <f>36</f>
        <v/>
      </c>
      <c r="D8" s="15" t="inlineStr">
        <is>
          <t>Bij cohort oud is dat 12 van de 18. De rest is in dezelfde open, warme toon. Dit is de gokregel: kies de optie met een vraag erin. Telt op de stam vra*, dus vraag, vragen en doorvragen.</t>
        </is>
      </c>
    </row>
    <row r="9" ht="32" customHeight="1">
      <c r="A9" s="11" t="inlineStr">
        <is>
          <t>Goed antwoord op positie 1</t>
        </is>
      </c>
      <c r="B9" s="12">
        <f>COUNTIF('Huidige content'!J5:J40,1)</f>
        <v/>
      </c>
      <c r="C9" s="11">
        <f>36</f>
        <v/>
      </c>
      <c r="D9" s="13" t="inlineStr">
        <is>
          <t>Positie is inmiddels netjes verdeeld — die eerdere fix werkt. Lost de gokbaarheid niet op, want die zit in de inhoud.</t>
        </is>
      </c>
    </row>
    <row r="10" ht="32" customHeight="1">
      <c r="A10" s="11" t="inlineStr">
        <is>
          <t>Goed antwoord op positie 2</t>
        </is>
      </c>
      <c r="B10" s="12">
        <f>COUNTIF('Huidige content'!J5:J40,2)</f>
        <v/>
      </c>
      <c r="C10" s="11">
        <f>36</f>
        <v/>
      </c>
      <c r="D10" s="13" t="inlineStr"/>
    </row>
    <row r="11" ht="32" customHeight="1">
      <c r="A11" s="11" t="inlineStr">
        <is>
          <t>Goed antwoord op positie 3</t>
        </is>
      </c>
      <c r="B11" s="12">
        <f>COUNTIF('Huidige content'!J5:J40,3)</f>
        <v/>
      </c>
      <c r="C11" s="11">
        <f>36</f>
        <v/>
      </c>
      <c r="D11" s="13" t="inlineStr"/>
    </row>
    <row r="12" ht="32" customHeight="1">
      <c r="A12" s="11" t="inlineStr">
        <is>
          <t>Beoordeeld als 'Houden'</t>
        </is>
      </c>
      <c r="B12" s="12">
        <f>COUNTIF('Huidige content'!M5:M40,"Houden")</f>
        <v/>
      </c>
      <c r="C12" s="11">
        <f>36</f>
        <v/>
      </c>
      <c r="D12" s="13" t="inlineStr">
        <is>
          <t>Vul de kolom 'Jouw oordeel' en dit loopt mee.</t>
        </is>
      </c>
    </row>
    <row r="13" ht="32" customHeight="1">
      <c r="A13" s="11" t="inlineStr">
        <is>
          <t>Beoordeeld als 'Herschrijven'</t>
        </is>
      </c>
      <c r="B13" s="12">
        <f>COUNTIF('Huidige content'!M5:M40,"Herschrijven")</f>
        <v/>
      </c>
      <c r="C13" s="11">
        <f>36</f>
        <v/>
      </c>
      <c r="D13" s="13" t="inlineStr"/>
    </row>
    <row r="14" ht="32" customHeight="1">
      <c r="A14" s="11" t="inlineStr">
        <is>
          <t>Beoordeeld als 'Vervangen'</t>
        </is>
      </c>
      <c r="B14" s="12">
        <f>COUNTIF('Huidige content'!M5:M40,"Vervangen")</f>
        <v/>
      </c>
      <c r="C14" s="11">
        <f>36</f>
        <v/>
      </c>
      <c r="D14" s="13" t="inlineStr"/>
    </row>
    <row r="15" ht="32" customHeight="1">
      <c r="A15" s="11" t="inlineStr">
        <is>
          <t>Nog geen nieuw vraagtype gekozen</t>
        </is>
      </c>
      <c r="B15" s="12">
        <f>COUNTBLANK('Huidige content'!N5:N40)</f>
        <v/>
      </c>
      <c r="C15" s="11">
        <f>36</f>
        <v/>
      </c>
      <c r="D15" s="13" t="inlineStr">
        <is>
          <t>Hoeveel er nog op je wachten.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4" customWidth="1" min="1" max="1"/>
    <col width="24" customWidth="1" min="2" max="2"/>
    <col width="40" customWidth="1" min="3" max="3"/>
    <col width="44" customWidth="1" min="4" max="4"/>
    <col width="40" customWidth="1" min="5" max="5"/>
    <col width="11" customWidth="1" min="6" max="6"/>
    <col width="48" customWidth="1" min="7" max="7"/>
  </cols>
  <sheetData>
    <row r="1">
      <c r="A1" s="1" t="inlineStr">
        <is>
          <t>Vraagtypen</t>
        </is>
      </c>
    </row>
    <row r="2">
      <c r="A2" s="2" t="inlineStr">
        <is>
          <t>Negen vormen om mee af te wisselen. Kolom B vult de dropdown op 'Huidige content' en 'Nieuwe oefeningen'.</t>
        </is>
      </c>
    </row>
    <row r="4" ht="32" customHeight="1">
      <c r="A4" s="7" t="inlineStr">
        <is>
          <t>#</t>
        </is>
      </c>
      <c r="B4" s="7" t="inlineStr">
        <is>
          <t>Vraagtype</t>
        </is>
      </c>
      <c r="C4" s="7" t="inlineStr">
        <is>
          <t>Wat het is</t>
        </is>
      </c>
      <c r="D4" s="7" t="inlineStr">
        <is>
          <t>Waarom het werkt</t>
        </is>
      </c>
      <c r="E4" s="7" t="inlineStr">
        <is>
          <t>Waar het misgaat</t>
        </is>
      </c>
      <c r="F4" s="7" t="inlineStr">
        <is>
          <t>Te gokken?</t>
        </is>
      </c>
      <c r="G4" s="7" t="inlineStr">
        <is>
          <t>Voorbeeld</t>
        </is>
      </c>
    </row>
    <row r="5" ht="74" customHeight="1">
      <c r="A5" s="13" t="n">
        <v>1</v>
      </c>
      <c r="B5" s="16" t="inlineStr">
        <is>
          <t>Beste aanpak</t>
        </is>
      </c>
      <c r="C5" s="13" t="inlineStr">
        <is>
          <t>Drie opties, één goed. Het enige type dat er nu is.</t>
        </is>
      </c>
      <c r="D5" s="13" t="inlineStr">
        <is>
          <t>Snel, en werkt waar er écht één duidelijk betere reactie is — bijvoorbeeld bij veiligheid.</t>
        </is>
      </c>
      <c r="E5" s="13" t="inlineStr">
        <is>
          <t>Zodra de foute opties te hard of te passief zijn, herkent de vader de vorm en gokt hij goed. Dat is nu bij alle 36 zo.</t>
        </is>
      </c>
      <c r="F5" s="15" t="inlineStr">
        <is>
          <t>Ja</t>
        </is>
      </c>
      <c r="G5" s="13" t="inlineStr">
        <is>
          <t>Max één per unit, en alleen als de afleiders serieus overwogen kunnen worden.</t>
        </is>
      </c>
    </row>
    <row r="6" ht="74" customHeight="1">
      <c r="A6" s="13" t="n">
        <v>2</v>
      </c>
      <c r="B6" s="16" t="inlineStr">
        <is>
          <t>Twee redelijke wegen</t>
        </is>
      </c>
      <c r="C6" s="13" t="inlineStr">
        <is>
          <t>Twee opties die allebei verdedigbaar zijn. Geen fout antwoord; de feedback legt uit waar het van afhangt.</t>
        </is>
      </c>
      <c r="D6" s="13" t="inlineStr">
        <is>
          <t>Dit is hoe opvoeden echt werkt. Het dwingt tot afwegen in plaats van het juiste vakje zoeken, en past bij de eigen toon van de app.</t>
        </is>
      </c>
      <c r="E6" s="13" t="inlineStr">
        <is>
          <t>Als een van de twee stiekem tóch beter is, voelt de vader zich beetgenomen. Beide moeten echt kunnen.</t>
        </is>
      </c>
      <c r="F6" s="17" t="inlineStr">
        <is>
          <t>Nee</t>
        </is>
      </c>
      <c r="G6" s="13" t="inlineStr">
        <is>
          <t>"Hij is stil na school. Je geeft hem ruimte, of je gaat er even bij zitten. Wat past hier?"</t>
        </is>
      </c>
    </row>
    <row r="7" ht="74" customHeight="1">
      <c r="A7" s="13" t="n">
        <v>3</v>
      </c>
      <c r="B7" s="16" t="inlineStr">
        <is>
          <t>Jouw eerste neiging</t>
        </is>
      </c>
      <c r="C7" s="13" t="inlineStr">
        <is>
          <t>De vader kiest eerlijk wat hij zelf zou doen, ook de harde of vermijdende reactie.</t>
        </is>
      </c>
      <c r="D7" s="13" t="inlineStr">
        <is>
          <t>Zelfkennis in plaats van een toets. Er valt niets te raden, dus je krijgt eerlijke data over waar deze vader staat.</t>
        </is>
      </c>
      <c r="E7" s="13" t="inlineStr">
        <is>
          <t>Alleen waardevol als de feedback niet veroordeelt. Wordt hij afgestraft voor zijn eerlijke antwoord, dan liegt hij de volgende keer.</t>
        </is>
      </c>
      <c r="F7" s="17" t="inlineStr">
        <is>
          <t>Nee</t>
        </is>
      </c>
      <c r="G7" s="13" t="inlineStr">
        <is>
          <t>"Wat is je eerste neiging als hij de deur dichtslaat?" — en dan wat die reflex meestal oplevert.</t>
        </is>
      </c>
    </row>
    <row r="8" ht="74" customHeight="1">
      <c r="A8" s="13" t="n">
        <v>4</v>
      </c>
      <c r="B8" s="16" t="inlineStr">
        <is>
          <t>En dan?</t>
        </is>
      </c>
      <c r="C8" s="13" t="inlineStr">
        <is>
          <t>Gegeven een reactie van de vader: wat doet het kind daarna?</t>
        </is>
      </c>
      <c r="D8" s="13" t="inlineStr">
        <is>
          <t>Toetst het mentale model van het kind, niet de etiquette van de ouder. Precies wat de lessen willen overbrengen.</t>
        </is>
      </c>
      <c r="E8" s="13" t="inlineStr">
        <is>
          <t>Kinderen zijn niet voorspelbaar. Formuleer als 'meestal', nooit als zekerheid.</t>
        </is>
      </c>
      <c r="F8" s="13" t="inlineStr">
        <is>
          <t>Beperkt</t>
        </is>
      </c>
      <c r="G8" s="13" t="inlineStr">
        <is>
          <t>"Je zegt: waarom deed je dat nou? Wat gebeurt er dan meestal?"</t>
        </is>
      </c>
    </row>
    <row r="9" ht="74" customHeight="1">
      <c r="A9" s="13" t="n">
        <v>5</v>
      </c>
      <c r="B9" s="16" t="inlineStr">
        <is>
          <t>Eén woord verschil</t>
        </is>
      </c>
      <c r="C9" s="13" t="inlineStr">
        <is>
          <t>Twee bijna identieke zinnen die één woord schelen.</t>
        </is>
      </c>
      <c r="D9" s="13" t="inlineStr">
        <is>
          <t>Traint precisie in taal, en dat is waar het thuis op stukloopt. Toon is niet te gokken want beide klinken redelijk.</t>
        </is>
      </c>
      <c r="E9" s="13" t="inlineStr">
        <is>
          <t>Werkt alleen als het verschil echt uitmaakt. Anders wordt het haarkloven.</t>
        </is>
      </c>
      <c r="F9" s="17" t="inlineStr">
        <is>
          <t>Nee</t>
        </is>
      </c>
      <c r="G9" s="13" t="inlineStr">
        <is>
          <t>"Waarom deed je dat?" tegenover "Wat gebeurde er?" — het eerste vraagt om verdediging.</t>
        </is>
      </c>
    </row>
    <row r="10" ht="74" customHeight="1">
      <c r="A10" s="13" t="n">
        <v>6</v>
      </c>
      <c r="B10" s="16" t="inlineStr">
        <is>
          <t>Zet op volgorde</t>
        </is>
      </c>
      <c r="C10" s="13" t="inlineStr">
        <is>
          <t>Orden drie stappen in de juiste volgorde.</t>
        </is>
      </c>
      <c r="D10" s="13" t="inlineStr">
        <is>
          <t>Volgorde is een echte vaardigheid — eerst het gevoel benoemen, dán oplossen — en is niet te raden aan de toon.</t>
        </is>
      </c>
      <c r="E10" s="13" t="inlineStr">
        <is>
          <t>Niet meer dan drie stappen, anders wordt het een puzzel in plaats van een inzicht.</t>
        </is>
      </c>
      <c r="F10" s="17" t="inlineStr">
        <is>
          <t>Nee</t>
        </is>
      </c>
      <c r="G10" s="13" t="inlineStr">
        <is>
          <t>Gevoel benoemen · vragen wat er nodig is · samen oplossen.</t>
        </is>
      </c>
    </row>
    <row r="11" ht="74" customHeight="1">
      <c r="A11" s="13" t="n">
        <v>7</v>
      </c>
      <c r="B11" s="16" t="inlineStr">
        <is>
          <t>Waar ging het mis</t>
        </is>
      </c>
      <c r="C11" s="13" t="inlineStr">
        <is>
          <t>Een kort dialoogje; markeer de zin waar het kantelde.</t>
        </is>
      </c>
      <c r="D11" s="13" t="inlineStr">
        <is>
          <t>Herkennen is makkelijker dan bedenken, en is de eerste stap. Werkt goed vroeg in een unit.</t>
        </is>
      </c>
      <c r="E11" s="13" t="inlineStr">
        <is>
          <t>De kantelzin moet echt aanwijsbaar zijn, anders is het een gokspel.</t>
        </is>
      </c>
      <c r="F11" s="17" t="inlineStr">
        <is>
          <t>Nee</t>
        </is>
      </c>
      <c r="G11" s="13" t="inlineStr">
        <is>
          <t>Vier regels vader-zoon, waarvan één de deur dichtgooit.</t>
        </is>
      </c>
    </row>
    <row r="12" ht="74" customHeight="1">
      <c r="A12" s="13" t="n">
        <v>8</v>
      </c>
      <c r="B12" s="16" t="inlineStr">
        <is>
          <t>Terugblik</t>
        </is>
      </c>
      <c r="C12" s="13" t="inlineStr">
        <is>
          <t>Na een thuismissie: ging goed · was lastig · niet gelukt.</t>
        </is>
      </c>
      <c r="D12" s="13" t="inlineStr">
        <is>
          <t>Voedt de reflectie die er al is, en levert de enige echte data die je hebt over wat er thuis gebeurt.</t>
        </is>
      </c>
      <c r="E12" s="13" t="inlineStr">
        <is>
          <t>Moet 'niet gelukt' en 'kind was er niet' toestaan. Een lijst waar je alleen ja op kunt zeggen leert liegen.</t>
        </is>
      </c>
      <c r="F12" s="13" t="inlineStr">
        <is>
          <t>Nvt</t>
        </is>
      </c>
      <c r="G12" s="13" t="inlineStr">
        <is>
          <t>"Je zou een specifieke vraag stellen. Hoe ging dat?"</t>
        </is>
      </c>
    </row>
    <row r="13" ht="74" customHeight="1">
      <c r="A13" s="13" t="n">
        <v>9</v>
      </c>
      <c r="B13" s="16" t="inlineStr">
        <is>
          <t>Opfrisser</t>
        </is>
      </c>
      <c r="C13" s="13" t="inlineStr">
        <is>
          <t>Eén vraag uit een eerdere les, opnieuw gesteld door het herhaalschema.</t>
        </is>
      </c>
      <c r="D13" s="13" t="inlineStr">
        <is>
          <t>Herhaling op oplopende intervallen is het enige bewezen deel van het Duolingo-model. Kost 20 seconden.</t>
        </is>
      </c>
      <c r="E13" s="13" t="inlineStr">
        <is>
          <t>Moet aanvoelen als een geheugensteun, niet als een overhoring. Nooit meer dan twee per sessie.</t>
        </is>
      </c>
      <c r="F13" s="13" t="inlineStr">
        <is>
          <t>Nvt</t>
        </is>
      </c>
      <c r="G13" s="13" t="inlineStr">
        <is>
          <t>Zie tabblad Herhaling voor wanneer welke opfrisser komt.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24" customWidth="1" min="1" max="1"/>
    <col width="15" customWidth="1" min="2" max="2"/>
    <col width="46" customWidth="1" min="3" max="3"/>
    <col width="13" customWidth="1" min="4" max="4"/>
    <col width="60" customWidth="1" min="5" max="5"/>
  </cols>
  <sheetData>
    <row r="1">
      <c r="A1" s="1" t="inlineStr">
        <is>
          <t>Herhaalmodel</t>
        </is>
      </c>
    </row>
    <row r="2">
      <c r="A2" s="2" t="inlineStr">
        <is>
          <t>Wanneer komt iets terug. Geel = jouw knoppen; pas de dagen aan en de rest is beschrijving.</t>
        </is>
      </c>
    </row>
    <row r="4" ht="32" customHeight="1">
      <c r="A4" s="7" t="inlineStr">
        <is>
          <t>Moment</t>
        </is>
      </c>
      <c r="B4" s="7" t="inlineStr">
        <is>
          <t>Dagen na de les</t>
        </is>
      </c>
      <c r="C4" s="7" t="inlineStr">
        <is>
          <t>Wat er gebeurt</t>
        </is>
      </c>
      <c r="D4" s="7" t="inlineStr">
        <is>
          <t>Hoeveel vragen</t>
        </is>
      </c>
      <c r="E4" s="7" t="inlineStr">
        <is>
          <t>Waarom</t>
        </is>
      </c>
    </row>
    <row r="5" ht="52" customHeight="1">
      <c r="A5" s="16" t="inlineStr">
        <is>
          <t>Les zelf</t>
        </is>
      </c>
      <c r="B5" s="10" t="inlineStr">
        <is>
          <t>0</t>
        </is>
      </c>
      <c r="C5" s="13" t="inlineStr">
        <is>
          <t>De volle les: zes beats plus een thuismissie.</t>
        </is>
      </c>
      <c r="D5" s="13" t="inlineStr">
        <is>
          <t>1 oefening</t>
        </is>
      </c>
      <c r="E5" s="13" t="inlineStr">
        <is>
          <t>Het startpunt. Alles hieronder rekent hiervandaan.</t>
        </is>
      </c>
    </row>
    <row r="6" ht="52" customHeight="1">
      <c r="A6" s="16" t="inlineStr">
        <is>
          <t>Eerste opfrisser</t>
        </is>
      </c>
      <c r="B6" s="10" t="inlineStr">
        <is>
          <t>3</t>
        </is>
      </c>
      <c r="C6" s="13" t="inlineStr">
        <is>
          <t>Eén vraag uit deze les, ander vraagtype dan de eerste keer.</t>
        </is>
      </c>
      <c r="D6" s="13" t="inlineStr">
        <is>
          <t>1</t>
        </is>
      </c>
      <c r="E6" s="13" t="inlineStr">
        <is>
          <t>Kort na het leren is de winst het grootst. Ander type, anders herken je het antwoord in plaats van de inhoud.</t>
        </is>
      </c>
    </row>
    <row r="7" ht="52" customHeight="1">
      <c r="A7" s="16" t="inlineStr">
        <is>
          <t>Tweede opfrisser</t>
        </is>
      </c>
      <c r="B7" s="10" t="inlineStr">
        <is>
          <t>10</t>
        </is>
      </c>
      <c r="C7" s="13" t="inlineStr">
        <is>
          <t>Gemengd met een vraag uit een andere les van hetzelfde thema.</t>
        </is>
      </c>
      <c r="D7" s="13" t="inlineStr">
        <is>
          <t>2</t>
        </is>
      </c>
      <c r="E7" s="13" t="inlineStr">
        <is>
          <t>Door elkaar husselen werkt beter dan blokken. Het dwingt tot herkennen wélke situatie dit is.</t>
        </is>
      </c>
    </row>
    <row r="8" ht="52" customHeight="1">
      <c r="A8" s="16" t="inlineStr">
        <is>
          <t>Unit-checkpoint</t>
        </is>
      </c>
      <c r="B8" s="10" t="inlineStr">
        <is>
          <t>30</t>
        </is>
      </c>
      <c r="C8" s="13" t="inlineStr">
        <is>
          <t>Mix van alle lessen uit de unit, plus een terugblik op de thuismissies.</t>
        </is>
      </c>
      <c r="D8" s="13" t="inlineStr">
        <is>
          <t>4-5</t>
        </is>
      </c>
      <c r="E8" s="13" t="inlineStr">
        <is>
          <t>Duolingo's unit-review. Sluit een thema af met een moment dat iets betekent.</t>
        </is>
      </c>
    </row>
    <row r="9" ht="52" customHeight="1">
      <c r="A9" s="16" t="inlineStr">
        <is>
          <t>Onderhoud</t>
        </is>
      </c>
      <c r="B9" s="10" t="inlineStr">
        <is>
          <t>90</t>
        </is>
      </c>
      <c r="C9" s="13" t="inlineStr">
        <is>
          <t>Eén vraag per thema, alleen als het thema niet vanzelf terugkomt.</t>
        </is>
      </c>
      <c r="D9" s="13" t="inlineStr">
        <is>
          <t>1</t>
        </is>
      </c>
      <c r="E9" s="13" t="inlineStr">
        <is>
          <t>Houdt oude thema's levend zonder er werk van te maken.</t>
        </is>
      </c>
    </row>
    <row r="10" ht="52" customHeight="1">
      <c r="A10" s="16" t="inlineStr">
        <is>
          <t>Fout of onzeker</t>
        </is>
      </c>
      <c r="B10" s="10" t="inlineStr">
        <is>
          <t>volgende sessie</t>
        </is>
      </c>
      <c r="C10" s="13" t="inlineStr">
        <is>
          <t>De vraag komt terug aan het begin van de eerstvolgende sessie.</t>
        </is>
      </c>
      <c r="D10" s="13" t="inlineStr">
        <is>
          <t>1</t>
        </is>
      </c>
      <c r="E10" s="13" t="inlineStr">
        <is>
          <t>Fouten die niet terugkomen, leren niets. Dit is Duolingo's 'mistakes inbox'.</t>
        </is>
      </c>
    </row>
    <row r="11" ht="52" customHeight="1">
      <c r="A11" s="16" t="inlineStr">
        <is>
          <t>Thema vervaagt</t>
        </is>
      </c>
      <c r="B11" s="10" t="inlineStr">
        <is>
          <t>45 zonder contact</t>
        </is>
      </c>
      <c r="C11" s="13" t="inlineStr">
        <is>
          <t>Het thema wordt op het pad zichtbaar lichter, met een opfrisser eronder.</t>
        </is>
      </c>
      <c r="D11" s="13" t="inlineStr">
        <is>
          <t>-</t>
        </is>
      </c>
      <c r="E11" s="13" t="inlineStr">
        <is>
          <t>Zichtbaar verval nodigt uit tot terugkomen. Wel zonder rood en zonder verwijt.</t>
        </is>
      </c>
    </row>
    <row r="13">
      <c r="A13" s="5" t="inlineStr">
        <is>
          <t>STREAK</t>
        </is>
      </c>
    </row>
    <row r="14" ht="30" customHeight="1">
      <c r="A14" s="3" t="inlineStr">
        <is>
          <t>Ritme</t>
        </is>
      </c>
      <c r="C14" s="4" t="inlineStr">
        <is>
          <t>Wekelijks, niet dagelijks. Eén contactmoment per week houdt de streak heel.</t>
        </is>
      </c>
    </row>
    <row r="15" ht="30" customHeight="1">
      <c r="A15" s="3" t="inlineStr">
        <is>
          <t>Vergeving</t>
        </is>
      </c>
      <c r="C15" s="4" t="inlineStr">
        <is>
          <t>Eén gemiste week per maand telt niet als breuk. Duolingo's streak freeze, maar automatisch.</t>
        </is>
      </c>
    </row>
    <row r="16" ht="30" customHeight="1">
      <c r="A16" s="3" t="inlineStr">
        <is>
          <t>Waarom</t>
        </is>
      </c>
      <c r="C16" s="4" t="inlineStr">
        <is>
          <t>Deze vaders denken al dat ze tekortschieten. Een streak van 40 die breekt is de betrouwbaarste reden om de app nooit meer te openen.</t>
        </is>
      </c>
    </row>
    <row r="17" ht="30" customHeight="1">
      <c r="A17" s="3" t="inlineStr">
        <is>
          <t>Wat telt als contact</t>
        </is>
      </c>
      <c r="C17" s="4" t="inlineStr">
        <is>
          <t>Een les, een opfrisser, of een thuismissie afvinken. Niet: de app openen.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30" customWidth="1" min="3" max="3"/>
    <col width="10" customWidth="1" min="4" max="4"/>
    <col width="13" customWidth="1" min="5" max="5"/>
    <col width="12" customWidth="1" min="6" max="6"/>
    <col width="12" customWidth="1" min="7" max="7"/>
    <col width="58" customWidth="1" min="8" max="8"/>
  </cols>
  <sheetData>
    <row r="1">
      <c r="A1" s="1" t="inlineStr">
        <is>
          <t>Themamodel — van zes werelden naar units</t>
        </is>
      </c>
    </row>
    <row r="2">
      <c r="A2" s="2" t="inlineStr">
        <is>
          <t>Geel is van jou. Voorstel: unit 1 verplicht als fundament, daarna kiest de vader zelf de volgorde.</t>
        </is>
      </c>
    </row>
    <row r="4" ht="32" customHeight="1">
      <c r="A4" s="7" t="inlineStr">
        <is>
          <t>#</t>
        </is>
      </c>
      <c r="B4" s="7" t="inlineStr">
        <is>
          <t>Huidig thema</t>
        </is>
      </c>
      <c r="C4" s="7" t="inlineStr">
        <is>
          <t>Nieuwe unitnaam</t>
        </is>
      </c>
      <c r="D4" s="7" t="inlineStr">
        <is>
          <t>Lessen nu</t>
        </is>
      </c>
      <c r="E4" s="7" t="inlineStr">
        <is>
          <t>Lessen gewenst</t>
        </is>
      </c>
      <c r="F4" s="7" t="inlineStr">
        <is>
          <t>Verplicht?</t>
        </is>
      </c>
      <c r="G4" s="7" t="inlineStr">
        <is>
          <t>Checkpoint?</t>
        </is>
      </c>
      <c r="H4" s="7" t="inlineStr">
        <is>
          <t>Waarom deze volgorde</t>
        </is>
      </c>
    </row>
    <row r="5" ht="48" customHeight="1">
      <c r="A5" s="13" t="n">
        <v>1</v>
      </c>
      <c r="B5" s="16" t="inlineStr">
        <is>
          <t>Verbinding</t>
        </is>
      </c>
      <c r="C5" s="10" t="inlineStr">
        <is>
          <t>Contact maken</t>
        </is>
      </c>
      <c r="D5" s="13" t="n">
        <v>3</v>
      </c>
      <c r="E5" s="10" t="n">
        <v>5</v>
      </c>
      <c r="F5" s="10" t="inlineStr">
        <is>
          <t>Ja</t>
        </is>
      </c>
      <c r="G5" s="10" t="inlineStr">
        <is>
          <t>Ja</t>
        </is>
      </c>
      <c r="H5" s="10" t="inlineStr">
        <is>
          <t>Fundament. Zonder contact landt geen enkel ander thema. Dit is de enige unit die vast staat.</t>
        </is>
      </c>
    </row>
    <row r="6" ht="48" customHeight="1">
      <c r="A6" s="13" t="n">
        <v>2</v>
      </c>
      <c r="B6" s="16" t="inlineStr">
        <is>
          <t>Emoties</t>
        </is>
      </c>
      <c r="C6" s="10" t="inlineStr">
        <is>
          <t>Als het escaleert</t>
        </is>
      </c>
      <c r="D6" s="13" t="n">
        <v>3</v>
      </c>
      <c r="E6" s="10" t="n">
        <v>5</v>
      </c>
      <c r="F6" s="10" t="inlineStr">
        <is>
          <t>Nee</t>
        </is>
      </c>
      <c r="G6" s="10" t="inlineStr">
        <is>
          <t>Ja</t>
        </is>
      </c>
      <c r="H6" s="10" t="inlineStr">
        <is>
          <t>Meestal de reden dat een vader de app opent. Hoog in de lijst zetten.</t>
        </is>
      </c>
    </row>
    <row r="7" ht="48" customHeight="1">
      <c r="A7" s="13" t="n">
        <v>3</v>
      </c>
      <c r="B7" s="16" t="inlineStr">
        <is>
          <t>Grenzen</t>
        </is>
      </c>
      <c r="C7" s="10" t="inlineStr">
        <is>
          <t>Regels en ruimte</t>
        </is>
      </c>
      <c r="D7" s="13" t="n">
        <v>3</v>
      </c>
      <c r="E7" s="10" t="n">
        <v>5</v>
      </c>
      <c r="F7" s="10" t="inlineStr">
        <is>
          <t>Nee</t>
        </is>
      </c>
      <c r="G7" s="10" t="inlineStr">
        <is>
          <t>Ja</t>
        </is>
      </c>
      <c r="H7" s="10" t="inlineStr">
        <is>
          <t>Werkt pas als er contact is; anders wordt elke regel een machtsstrijd.</t>
        </is>
      </c>
    </row>
    <row r="8" ht="48" customHeight="1">
      <c r="A8" s="13" t="n">
        <v>4</v>
      </c>
      <c r="B8" s="16" t="inlineStr">
        <is>
          <t>Zelfvertrouwen</t>
        </is>
      </c>
      <c r="C8" s="10" t="inlineStr">
        <is>
          <t>Hoe hij naar zichzelf kijkt</t>
        </is>
      </c>
      <c r="D8" s="13" t="n">
        <v>3</v>
      </c>
      <c r="E8" s="10" t="n">
        <v>5</v>
      </c>
      <c r="F8" s="10" t="inlineStr">
        <is>
          <t>Nee</t>
        </is>
      </c>
      <c r="G8" s="10" t="inlineStr">
        <is>
          <t>Ja</t>
        </is>
      </c>
      <c r="H8" s="10" t="inlineStr">
        <is>
          <t>Trager thema, minder acuut. Geen haast.</t>
        </is>
      </c>
    </row>
    <row r="9" ht="48" customHeight="1">
      <c r="A9" s="13" t="n">
        <v>5</v>
      </c>
      <c r="B9" s="16" t="inlineStr">
        <is>
          <t>Vriendschap en groepsdruk</t>
        </is>
      </c>
      <c r="C9" s="10" t="inlineStr">
        <is>
          <t>Vrienden en de groep</t>
        </is>
      </c>
      <c r="D9" s="13" t="n">
        <v>3</v>
      </c>
      <c r="E9" s="10" t="n">
        <v>5</v>
      </c>
      <c r="F9" s="10" t="inlineStr">
        <is>
          <t>Nee</t>
        </is>
      </c>
      <c r="G9" s="10" t="inlineStr">
        <is>
          <t>Ja</t>
        </is>
      </c>
      <c r="H9" s="10" t="inlineStr">
        <is>
          <t>Wordt urgent rond de bandovergang; laat het pad dit naar voren halen als de leeftijd erom vraagt.</t>
        </is>
      </c>
    </row>
    <row r="10" ht="48" customHeight="1">
      <c r="A10" s="13" t="n">
        <v>6</v>
      </c>
      <c r="B10" s="16" t="inlineStr">
        <is>
          <t>Online</t>
        </is>
      </c>
      <c r="C10" s="10" t="inlineStr">
        <is>
          <t>Schermen en online</t>
        </is>
      </c>
      <c r="D10" s="13" t="n">
        <v>3</v>
      </c>
      <c r="E10" s="10" t="n">
        <v>5</v>
      </c>
      <c r="F10" s="10" t="inlineStr">
        <is>
          <t>Nee</t>
        </is>
      </c>
      <c r="G10" s="10" t="inlineStr">
        <is>
          <t>Ja</t>
        </is>
      </c>
      <c r="H10" s="10" t="inlineStr">
        <is>
          <t>Vaak de eerste vraag van een vader. Juist daarom niet als laatste vastzetten.</t>
        </is>
      </c>
    </row>
    <row r="11">
      <c r="C11" s="18" t="inlineStr">
        <is>
          <t>Totaal per cohort</t>
        </is>
      </c>
      <c r="D11" s="18">
        <f>SUM(D5:D10)</f>
        <v/>
      </c>
      <c r="E11" s="18">
        <f>SUM(E5:E10)</f>
        <v/>
      </c>
    </row>
    <row r="13" ht="30" customHeight="1">
      <c r="A13" s="5" t="inlineStr">
        <is>
          <t>WAT ER VERANDERT</t>
        </is>
      </c>
      <c r="C13" s="4" t="inlineStr"/>
    </row>
    <row r="14" ht="30" customHeight="1">
      <c r="A14" s="3" t="inlineStr"/>
      <c r="C14" s="4" t="inlineStr">
        <is>
          <t>Nu: 6 werelden × 3 lessen, strikt lineair. Een vader wiens probleem schermtijd is, moet eerst vijftien lessen over iets anders doen.</t>
        </is>
      </c>
    </row>
    <row r="15" ht="30" customHeight="1">
      <c r="A15" s="3" t="inlineStr"/>
      <c r="C15" s="4" t="inlineStr">
        <is>
          <t>Voorstel: unit 1 verplicht, daarna vrije volgorde. Elke unit sluit af met een checkpoint dat de hele unit mengt.</t>
        </is>
      </c>
    </row>
    <row r="16" ht="30" customHeight="1">
      <c r="A16" s="3" t="inlineStr"/>
      <c r="C16" s="4" t="inlineStr">
        <is>
          <t>Bij 5 lessen per unit kom je op 30 per cohort. Met één unit per maand is dat 6 maanden — daarna is het kind een jaar ouder en kan het pad zich met de band vernieuwen.</t>
        </is>
      </c>
    </row>
  </sheetData>
  <dataValidations count="1">
    <dataValidation sqref="F5:G10" showDropDown="0" showInputMessage="0" showErrorMessage="0" allowBlank="1" type="list">
      <formula1>"Ja,Nee"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4" topLeftCell="A5" activePane="bottomLeft" state="frozen"/>
      <selection pane="bottomLeft" activeCell="A1" sqref="A1"/>
    </sheetView>
  </sheetViews>
  <sheetFormatPr baseColWidth="8" defaultRowHeight="15"/>
  <cols>
    <col width="22" customWidth="1" min="1" max="1"/>
    <col width="26" customWidth="1" min="2" max="2"/>
    <col width="22" customWidth="1" min="3" max="3"/>
    <col width="42" customWidth="1" min="4" max="4"/>
    <col width="30" customWidth="1" min="5" max="5"/>
    <col width="30" customWidth="1" min="6" max="6"/>
    <col width="30" customWidth="1" min="7" max="7"/>
    <col width="44" customWidth="1" min="8" max="8"/>
    <col width="34" customWidth="1" min="9" max="9"/>
    <col width="34" customWidth="1" min="10" max="10"/>
    <col width="34" customWidth="1" min="11" max="11"/>
    <col width="38" customWidth="1" min="12" max="12"/>
    <col width="38" customWidth="1" min="13" max="13"/>
  </cols>
  <sheetData>
    <row r="1">
      <c r="A1" s="1" t="inlineStr">
        <is>
          <t>Werkblad: nieuwe oefeningen</t>
        </is>
      </c>
    </row>
    <row r="2">
      <c r="A2" s="2" t="inlineStr">
        <is>
          <t>Rij 5 is een ingevuld voorbeeld van het type 'Twee redelijke wegen'. Schrijf daaronder verder.</t>
        </is>
      </c>
    </row>
    <row r="4" ht="32" customHeight="1">
      <c r="A4" s="7" t="inlineStr">
        <is>
          <t>Unit</t>
        </is>
      </c>
      <c r="B4" s="7" t="inlineStr">
        <is>
          <t>Les</t>
        </is>
      </c>
      <c r="C4" s="7" t="inlineStr">
        <is>
          <t>Vraagtype</t>
        </is>
      </c>
      <c r="D4" s="7" t="inlineStr">
        <is>
          <t>Situatie / vraag</t>
        </is>
      </c>
      <c r="E4" s="7" t="inlineStr">
        <is>
          <t>Optie A</t>
        </is>
      </c>
      <c r="F4" s="7" t="inlineStr">
        <is>
          <t>Optie B</t>
        </is>
      </c>
      <c r="G4" s="7" t="inlineStr">
        <is>
          <t>Optie C</t>
        </is>
      </c>
      <c r="H4" s="7" t="inlineStr">
        <is>
          <t>Waar het van afhangt</t>
        </is>
      </c>
      <c r="I4" s="7" t="inlineStr">
        <is>
          <t>Feedback A</t>
        </is>
      </c>
      <c r="J4" s="7" t="inlineStr">
        <is>
          <t>Feedback B</t>
        </is>
      </c>
      <c r="K4" s="7" t="inlineStr">
        <is>
          <t>Feedback C</t>
        </is>
      </c>
      <c r="L4" s="7" t="inlineStr">
        <is>
          <t>Thuismissie</t>
        </is>
      </c>
      <c r="M4" s="7" t="inlineStr">
        <is>
          <t>Opfrisser (dag 3)</t>
        </is>
      </c>
    </row>
    <row r="5" ht="88" customHeight="1">
      <c r="A5" s="17" t="inlineStr">
        <is>
          <t>Contact maken</t>
        </is>
      </c>
      <c r="B5" s="17" t="inlineStr">
        <is>
          <t>Als "gaat wel" het enige antwoord is</t>
        </is>
      </c>
      <c r="C5" s="17" t="inlineStr">
        <is>
          <t>Twee redelijke wegen</t>
        </is>
      </c>
      <c r="D5" s="17" t="inlineStr">
        <is>
          <t>{naam} zegt "gaat wel" en loopt door. Je hebt twee wegen. Welke past hier?</t>
        </is>
      </c>
      <c r="E5" s="17" t="inlineStr">
        <is>
          <t>Hem nu even laten en later terugkomen.</t>
        </is>
      </c>
      <c r="F5" s="17" t="inlineStr">
        <is>
          <t>Er meteen bij gaan zitten en iets kleins vragen.</t>
        </is>
      </c>
      <c r="G5" s="17" t="inlineStr"/>
      <c r="H5" s="17" t="inlineStr">
        <is>
          <t>Allebei goed, het hangt af van wat er vooraf ging. Was er net gedoe, dan heeft hij ruimte nodig. Is het al dagen zo, dan is wachten een manier om er niet te zijn.</t>
        </is>
      </c>
      <c r="I5" s="17" t="inlineStr">
        <is>
          <t>Ruimte geven werkt als hij net iets zwaars achter de rug heeft. Let op dat 'later' vandaag is, niet ooit.</t>
        </is>
      </c>
      <c r="J5" s="17" t="inlineStr">
        <is>
          <t>Erbij gaan zitten werkt als de stilte al dagen duurt. Houd de vraag klein en concreet — niet "hoe was het".</t>
        </is>
      </c>
      <c r="K5" s="17" t="inlineStr"/>
      <c r="L5" s="17" t="inlineStr">
        <is>
          <t>Stel vanavond één specifieke vraag over een klein moment van zijn dag.</t>
        </is>
      </c>
      <c r="M5" s="17" t="inlineStr">
        <is>
          <t>Wat maakte gisteren het verschil: dat je bleef zitten, of dat je hem liet?</t>
        </is>
      </c>
    </row>
    <row r="6" ht="64" customHeight="1">
      <c r="A6" s="10" t="n"/>
      <c r="B6" s="10" t="n"/>
      <c r="C6" s="10" t="n"/>
      <c r="D6" s="10" t="n"/>
      <c r="E6" s="10" t="n"/>
      <c r="F6" s="10" t="n"/>
      <c r="G6" s="10" t="n"/>
      <c r="H6" s="10" t="n"/>
      <c r="I6" s="10" t="n"/>
      <c r="J6" s="10" t="n"/>
      <c r="K6" s="10" t="n"/>
      <c r="L6" s="10" t="n"/>
      <c r="M6" s="10" t="n"/>
    </row>
    <row r="7" ht="64" customHeight="1">
      <c r="A7" s="10" t="n"/>
      <c r="B7" s="10" t="n"/>
      <c r="C7" s="10" t="n"/>
      <c r="D7" s="10" t="n"/>
      <c r="E7" s="10" t="n"/>
      <c r="F7" s="10" t="n"/>
      <c r="G7" s="10" t="n"/>
      <c r="H7" s="10" t="n"/>
      <c r="I7" s="10" t="n"/>
      <c r="J7" s="10" t="n"/>
      <c r="K7" s="10" t="n"/>
      <c r="L7" s="10" t="n"/>
      <c r="M7" s="10" t="n"/>
    </row>
    <row r="8" ht="64" customHeight="1">
      <c r="A8" s="10" t="n"/>
      <c r="B8" s="10" t="n"/>
      <c r="C8" s="10" t="n"/>
      <c r="D8" s="10" t="n"/>
      <c r="E8" s="10" t="n"/>
      <c r="F8" s="10" t="n"/>
      <c r="G8" s="10" t="n"/>
      <c r="H8" s="10" t="n"/>
      <c r="I8" s="10" t="n"/>
      <c r="J8" s="10" t="n"/>
      <c r="K8" s="10" t="n"/>
      <c r="L8" s="10" t="n"/>
      <c r="M8" s="10" t="n"/>
    </row>
    <row r="9" ht="64" customHeight="1">
      <c r="A9" s="10" t="n"/>
      <c r="B9" s="10" t="n"/>
      <c r="C9" s="10" t="n"/>
      <c r="D9" s="10" t="n"/>
      <c r="E9" s="10" t="n"/>
      <c r="F9" s="10" t="n"/>
      <c r="G9" s="10" t="n"/>
      <c r="H9" s="10" t="n"/>
      <c r="I9" s="10" t="n"/>
      <c r="J9" s="10" t="n"/>
      <c r="K9" s="10" t="n"/>
      <c r="L9" s="10" t="n"/>
      <c r="M9" s="10" t="n"/>
    </row>
    <row r="10" ht="64" customHeight="1">
      <c r="A10" s="10" t="n"/>
      <c r="B10" s="10" t="n"/>
      <c r="C10" s="10" t="n"/>
      <c r="D10" s="10" t="n"/>
      <c r="E10" s="10" t="n"/>
      <c r="F10" s="10" t="n"/>
      <c r="G10" s="10" t="n"/>
      <c r="H10" s="10" t="n"/>
      <c r="I10" s="10" t="n"/>
      <c r="J10" s="10" t="n"/>
      <c r="K10" s="10" t="n"/>
      <c r="L10" s="10" t="n"/>
      <c r="M10" s="10" t="n"/>
    </row>
    <row r="11" ht="64" customHeight="1">
      <c r="A11" s="10" t="n"/>
      <c r="B11" s="10" t="n"/>
      <c r="C11" s="10" t="n"/>
      <c r="D11" s="10" t="n"/>
      <c r="E11" s="10" t="n"/>
      <c r="F11" s="10" t="n"/>
      <c r="G11" s="10" t="n"/>
      <c r="H11" s="10" t="n"/>
      <c r="I11" s="10" t="n"/>
      <c r="J11" s="10" t="n"/>
      <c r="K11" s="10" t="n"/>
      <c r="L11" s="10" t="n"/>
      <c r="M11" s="10" t="n"/>
    </row>
    <row r="12" ht="64" customHeight="1">
      <c r="A12" s="10" t="n"/>
      <c r="B12" s="10" t="n"/>
      <c r="C12" s="10" t="n"/>
      <c r="D12" s="10" t="n"/>
      <c r="E12" s="10" t="n"/>
      <c r="F12" s="10" t="n"/>
      <c r="G12" s="10" t="n"/>
      <c r="H12" s="10" t="n"/>
      <c r="I12" s="10" t="n"/>
      <c r="J12" s="10" t="n"/>
      <c r="K12" s="10" t="n"/>
      <c r="L12" s="10" t="n"/>
      <c r="M12" s="10" t="n"/>
    </row>
    <row r="13" ht="64" customHeight="1">
      <c r="A13" s="10" t="n"/>
      <c r="B13" s="10" t="n"/>
      <c r="C13" s="10" t="n"/>
      <c r="D13" s="10" t="n"/>
      <c r="E13" s="10" t="n"/>
      <c r="F13" s="10" t="n"/>
      <c r="G13" s="10" t="n"/>
      <c r="H13" s="10" t="n"/>
      <c r="I13" s="10" t="n"/>
      <c r="J13" s="10" t="n"/>
      <c r="K13" s="10" t="n"/>
      <c r="L13" s="10" t="n"/>
      <c r="M13" s="10" t="n"/>
    </row>
    <row r="14" ht="64" customHeight="1">
      <c r="A14" s="10" t="n"/>
      <c r="B14" s="10" t="n"/>
      <c r="C14" s="10" t="n"/>
      <c r="D14" s="10" t="n"/>
      <c r="E14" s="10" t="n"/>
      <c r="F14" s="10" t="n"/>
      <c r="G14" s="10" t="n"/>
      <c r="H14" s="10" t="n"/>
      <c r="I14" s="10" t="n"/>
      <c r="J14" s="10" t="n"/>
      <c r="K14" s="10" t="n"/>
      <c r="L14" s="10" t="n"/>
      <c r="M14" s="10" t="n"/>
    </row>
    <row r="15" ht="64" customHeight="1">
      <c r="A15" s="10" t="n"/>
      <c r="B15" s="10" t="n"/>
      <c r="C15" s="10" t="n"/>
      <c r="D15" s="10" t="n"/>
      <c r="E15" s="10" t="n"/>
      <c r="F15" s="10" t="n"/>
      <c r="G15" s="10" t="n"/>
      <c r="H15" s="10" t="n"/>
      <c r="I15" s="10" t="n"/>
      <c r="J15" s="10" t="n"/>
      <c r="K15" s="10" t="n"/>
      <c r="L15" s="10" t="n"/>
      <c r="M15" s="10" t="n"/>
    </row>
    <row r="16" ht="64" customHeight="1">
      <c r="A16" s="10" t="n"/>
      <c r="B16" s="10" t="n"/>
      <c r="C16" s="10" t="n"/>
      <c r="D16" s="10" t="n"/>
      <c r="E16" s="10" t="n"/>
      <c r="F16" s="10" t="n"/>
      <c r="G16" s="10" t="n"/>
      <c r="H16" s="10" t="n"/>
      <c r="I16" s="10" t="n"/>
      <c r="J16" s="10" t="n"/>
      <c r="K16" s="10" t="n"/>
      <c r="L16" s="10" t="n"/>
      <c r="M16" s="10" t="n"/>
    </row>
    <row r="17" ht="64" customHeight="1">
      <c r="A17" s="10" t="n"/>
      <c r="B17" s="10" t="n"/>
      <c r="C17" s="10" t="n"/>
      <c r="D17" s="10" t="n"/>
      <c r="E17" s="10" t="n"/>
      <c r="F17" s="10" t="n"/>
      <c r="G17" s="10" t="n"/>
      <c r="H17" s="10" t="n"/>
      <c r="I17" s="10" t="n"/>
      <c r="J17" s="10" t="n"/>
      <c r="K17" s="10" t="n"/>
      <c r="L17" s="10" t="n"/>
      <c r="M17" s="10" t="n"/>
    </row>
    <row r="18" ht="64" customHeight="1">
      <c r="A18" s="10" t="n"/>
      <c r="B18" s="10" t="n"/>
      <c r="C18" s="10" t="n"/>
      <c r="D18" s="10" t="n"/>
      <c r="E18" s="10" t="n"/>
      <c r="F18" s="10" t="n"/>
      <c r="G18" s="10" t="n"/>
      <c r="H18" s="10" t="n"/>
      <c r="I18" s="10" t="n"/>
      <c r="J18" s="10" t="n"/>
      <c r="K18" s="10" t="n"/>
      <c r="L18" s="10" t="n"/>
      <c r="M18" s="10" t="n"/>
    </row>
    <row r="19" ht="64" customHeight="1">
      <c r="A19" s="10" t="n"/>
      <c r="B19" s="10" t="n"/>
      <c r="C19" s="10" t="n"/>
      <c r="D19" s="10" t="n"/>
      <c r="E19" s="10" t="n"/>
      <c r="F19" s="10" t="n"/>
      <c r="G19" s="10" t="n"/>
      <c r="H19" s="10" t="n"/>
      <c r="I19" s="10" t="n"/>
      <c r="J19" s="10" t="n"/>
      <c r="K19" s="10" t="n"/>
      <c r="L19" s="10" t="n"/>
      <c r="M19" s="10" t="n"/>
    </row>
    <row r="20" ht="64" customHeight="1">
      <c r="A20" s="10" t="n"/>
      <c r="B20" s="10" t="n"/>
      <c r="C20" s="10" t="n"/>
      <c r="D20" s="10" t="n"/>
      <c r="E20" s="10" t="n"/>
      <c r="F20" s="10" t="n"/>
      <c r="G20" s="10" t="n"/>
      <c r="H20" s="10" t="n"/>
      <c r="I20" s="10" t="n"/>
      <c r="J20" s="10" t="n"/>
      <c r="K20" s="10" t="n"/>
      <c r="L20" s="10" t="n"/>
      <c r="M20" s="10" t="n"/>
    </row>
    <row r="21" ht="64" customHeight="1">
      <c r="A21" s="10" t="n"/>
      <c r="B21" s="10" t="n"/>
      <c r="C21" s="10" t="n"/>
      <c r="D21" s="10" t="n"/>
      <c r="E21" s="10" t="n"/>
      <c r="F21" s="10" t="n"/>
      <c r="G21" s="10" t="n"/>
      <c r="H21" s="10" t="n"/>
      <c r="I21" s="10" t="n"/>
      <c r="J21" s="10" t="n"/>
      <c r="K21" s="10" t="n"/>
      <c r="L21" s="10" t="n"/>
      <c r="M21" s="10" t="n"/>
    </row>
    <row r="22" ht="64" customHeight="1">
      <c r="A22" s="10" t="n"/>
      <c r="B22" s="10" t="n"/>
      <c r="C22" s="10" t="n"/>
      <c r="D22" s="10" t="n"/>
      <c r="E22" s="10" t="n"/>
      <c r="F22" s="10" t="n"/>
      <c r="G22" s="10" t="n"/>
      <c r="H22" s="10" t="n"/>
      <c r="I22" s="10" t="n"/>
      <c r="J22" s="10" t="n"/>
      <c r="K22" s="10" t="n"/>
      <c r="L22" s="10" t="n"/>
      <c r="M22" s="10" t="n"/>
    </row>
    <row r="23" ht="64" customHeight="1">
      <c r="A23" s="10" t="n"/>
      <c r="B23" s="10" t="n"/>
      <c r="C23" s="10" t="n"/>
      <c r="D23" s="10" t="n"/>
      <c r="E23" s="10" t="n"/>
      <c r="F23" s="10" t="n"/>
      <c r="G23" s="10" t="n"/>
      <c r="H23" s="10" t="n"/>
      <c r="I23" s="10" t="n"/>
      <c r="J23" s="10" t="n"/>
      <c r="K23" s="10" t="n"/>
      <c r="L23" s="10" t="n"/>
      <c r="M23" s="10" t="n"/>
    </row>
    <row r="24" ht="64" customHeight="1">
      <c r="A24" s="10" t="n"/>
      <c r="B24" s="10" t="n"/>
      <c r="C24" s="10" t="n"/>
      <c r="D24" s="10" t="n"/>
      <c r="E24" s="10" t="n"/>
      <c r="F24" s="10" t="n"/>
      <c r="G24" s="10" t="n"/>
      <c r="H24" s="10" t="n"/>
      <c r="I24" s="10" t="n"/>
      <c r="J24" s="10" t="n"/>
      <c r="K24" s="10" t="n"/>
      <c r="L24" s="10" t="n"/>
      <c r="M24" s="10" t="n"/>
    </row>
    <row r="25" ht="64" customHeight="1">
      <c r="A25" s="10" t="n"/>
      <c r="B25" s="10" t="n"/>
      <c r="C25" s="10" t="n"/>
      <c r="D25" s="10" t="n"/>
      <c r="E25" s="10" t="n"/>
      <c r="F25" s="10" t="n"/>
      <c r="G25" s="10" t="n"/>
      <c r="H25" s="10" t="n"/>
      <c r="I25" s="10" t="n"/>
      <c r="J25" s="10" t="n"/>
      <c r="K25" s="10" t="n"/>
      <c r="L25" s="10" t="n"/>
      <c r="M25" s="10" t="n"/>
    </row>
    <row r="27">
      <c r="A27" s="2" t="inlineStr">
        <is>
          <t>Groen = voorbeeld, niet aanpassen. Geel = jouw werk. De dropdowns in kolom A en C komen uit de tabbladen Themamodel en Vraagtypen.</t>
        </is>
      </c>
    </row>
  </sheetData>
  <dataValidations count="2">
    <dataValidation sqref="C6:C25" showDropDown="0" showInputMessage="0" showErrorMessage="0" allowBlank="1" type="list">
      <formula1>Vraagtypen!$B$5:$B$13</formula1>
    </dataValidation>
    <dataValidation sqref="A6:A25" showDropDown="0" showInputMessage="0" showErrorMessage="0" allowBlank="1" type="list">
      <formula1>Themamodel!$C$5:$C$10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1"/>
  <sheetViews>
    <sheetView workbookViewId="0">
      <pane ySplit="22" topLeftCell="A23" activePane="bottomLeft" state="frozen"/>
      <selection pane="bottomLeft" activeCell="A1" sqref="A1"/>
    </sheetView>
  </sheetViews>
  <sheetFormatPr baseColWidth="8" defaultRowHeight="15"/>
  <cols>
    <col width="46" customWidth="1" min="1" max="1"/>
    <col width="14" customWidth="1" min="2" max="2"/>
    <col width="80" customWidth="1" min="3" max="3"/>
    <col width="66" customWidth="1" min="4" max="4"/>
  </cols>
  <sheetData>
    <row r="1">
      <c r="A1" s="1" t="inlineStr">
        <is>
          <t>Jaarritme — de verjaardag is het nieuwjaar</t>
        </is>
      </c>
    </row>
    <row r="2">
      <c r="A2" s="2" t="inlineStr">
        <is>
          <t>Geel = knoppen om aan te draaien. De contentkosten onderaan rekenen mee.</t>
        </is>
      </c>
    </row>
    <row r="4" ht="32" customHeight="1">
      <c r="A4" s="7" t="inlineStr">
        <is>
          <t>Moment</t>
        </is>
      </c>
      <c r="B4" s="7" t="inlineStr">
        <is>
          <t>Wanneer</t>
        </is>
      </c>
      <c r="C4" s="7" t="inlineStr">
        <is>
          <t>Wat er gebeurt</t>
        </is>
      </c>
      <c r="D4" s="7" t="inlineStr">
        <is>
          <t>Waarom dit moment</t>
        </is>
      </c>
    </row>
    <row r="5" ht="76" customHeight="1">
      <c r="A5" s="16" t="inlineStr">
        <is>
          <t>Verjaardag</t>
        </is>
      </c>
      <c r="B5" s="13" t="inlineStr">
        <is>
          <t>Elk jaar, op de dag zelf</t>
        </is>
      </c>
      <c r="C5" s="13" t="inlineStr">
        <is>
          <t>Een kort 'nieuw jaar'-scherm: wat verandert er bij een kind van deze leeftijd, wat vroeg je vorig jaar het vaakst, wat komt eraan. Daarna wordt het pad opnieuw gevuld.</t>
        </is>
      </c>
      <c r="D5" s="13" t="inlineStr">
        <is>
          <t>De enige datum in het jaar die écht over het kind gaat. Geen app-datum, geen abonnementsdatum. Een vader voelt zelf al dat er iets verschuift; de app sluit daarop aan in plaats van een eigen ritme op te leggen.</t>
        </is>
      </c>
    </row>
    <row r="6" ht="76" customHeight="1">
      <c r="A6" s="16" t="inlineStr">
        <is>
          <t>Bandgrens</t>
        </is>
      </c>
      <c r="B6" s="13" t="inlineStr">
        <is>
          <t>3× in de 8 jaar dat hij de app gebruikt</t>
        </is>
      </c>
      <c r="C6" s="13" t="inlineStr">
        <is>
          <t>Een echte nieuwe set thema's. Dochter bij 10, 13 en 15; zoon bij 11, 14 en 16.</t>
        </is>
      </c>
      <c r="D6" s="13" t="inlineStr">
        <is>
          <t>Alleen hier verandert de ontwikkelingsfase werkelijk. Elk jaar zes nieuwe thema's beloven is niet vol te houden en ook niet waar.</t>
        </is>
      </c>
    </row>
    <row r="7" ht="76" customHeight="1">
      <c r="A7" s="16" t="inlineStr">
        <is>
          <t>Jaar binnen dezelfde band</t>
        </is>
      </c>
      <c r="B7" s="13" t="inlineStr">
        <is>
          <t>De andere jaren</t>
        </is>
      </c>
      <c r="C7" s="13" t="inlineStr">
        <is>
          <t>Dezelfde thema's, maar scherpere situaties en een nieuwe trekking uit de oefenpool. Wat hij vorig jaar afmaakte staat als onderhoud, niet opnieuw als nieuw.</t>
        </is>
      </c>
      <c r="D7" s="13" t="inlineStr">
        <is>
          <t>Een band duurt 1 tot 3 jaar. Het verschil tussen 11 en 12 is echt, maar zit in de situatie, niet in het thema.</t>
        </is>
      </c>
    </row>
    <row r="8" ht="76" customHeight="1">
      <c r="A8" s="16" t="inlineStr">
        <is>
          <t>Thema</t>
        </is>
      </c>
      <c r="B8" s="13" t="inlineStr">
        <is>
          <t>Elke 6 weken</t>
        </is>
      </c>
      <c r="C8" s="13" t="inlineStr">
        <is>
          <t>4 weken nieuw materiaal, 2 weken consolidatie en checkpoint. Zes thema's vullen zo 36 weken.</t>
        </is>
      </c>
      <c r="D8" s="13" t="inlineStr">
        <is>
          <t>Een maand is te kort voor acht oefeningen plus een gewoonte die moet beklijven. Zes weken × zes thema's landt precies op een verjaardag-tot-verjaardag cyclus, met lucht.</t>
        </is>
      </c>
    </row>
    <row r="9" ht="76" customHeight="1">
      <c r="A9" s="16" t="inlineStr">
        <is>
          <t>Sessie</t>
        </is>
      </c>
      <c r="B9" s="13" t="inlineStr">
        <is>
          <t>2× per week, 5-7 minuten</t>
        </is>
      </c>
      <c r="C9" s="13" t="inlineStr">
        <is>
          <t>3 of 4 oefeningen, getrokken uit de pool van 8. Zie tabblad Oefenpool.</t>
        </is>
      </c>
      <c r="D9" s="13" t="inlineStr">
        <is>
          <t>Kort genoeg om vol te houden op een doordeweekse avond. Vaker aanbieden dan dit levert geen extra gedragsverandering op, alleen schuldgevoel.</t>
        </is>
      </c>
    </row>
    <row r="10" ht="76" customHeight="1">
      <c r="A10" s="16" t="inlineStr">
        <is>
          <t>Lucht</t>
        </is>
      </c>
      <c r="B10" s="13" t="inlineStr">
        <is>
          <t>Ongeveer 12 weken per jaar</t>
        </is>
      </c>
      <c r="C10" s="13" t="inlineStr">
        <is>
          <t>Geen nieuw thema. Alleen onderhoud, opfrissers en de chat.</t>
        </is>
      </c>
      <c r="D10" s="13" t="inlineStr">
        <is>
          <t>Vakanties, drukke periodes, en het simpele feit dat 52 weken nieuw materiaal niemand volhoudt. Ingebouwde rust is eerlijker dan een pad dat stilstaat en aanvoelt als falen.</t>
        </is>
      </c>
    </row>
    <row r="12">
      <c r="A12" s="5" t="inlineStr">
        <is>
          <t>KNOPPEN</t>
        </is>
      </c>
    </row>
    <row r="13" ht="32" customHeight="1">
      <c r="A13" s="7" t="inlineStr">
        <is>
          <t>Instelling</t>
        </is>
      </c>
      <c r="B13" s="7" t="inlineStr">
        <is>
          <t>Waarde</t>
        </is>
      </c>
      <c r="C13" s="7" t="inlineStr">
        <is>
          <t>Toelichting</t>
        </is>
      </c>
    </row>
    <row r="14" ht="26" customHeight="1">
      <c r="A14" s="13" t="inlineStr">
        <is>
          <t>Thema's per jaar</t>
        </is>
      </c>
      <c r="B14" s="10" t="n">
        <v>6</v>
      </c>
      <c r="C14" s="13" t="inlineStr">
        <is>
          <t>Zes × zes weken = 36 weken actief.</t>
        </is>
      </c>
    </row>
    <row r="15" ht="26" customHeight="1">
      <c r="A15" s="13" t="inlineStr">
        <is>
          <t>Weken per thema</t>
        </is>
      </c>
      <c r="B15" s="10" t="n">
        <v>6</v>
      </c>
      <c r="C15" s="13" t="inlineStr">
        <is>
          <t>Vier weken nieuw, twee weken consolidatie.</t>
        </is>
      </c>
    </row>
    <row r="16" ht="26" customHeight="1">
      <c r="A16" s="13" t="inlineStr">
        <is>
          <t>Oefeningen per thema</t>
        </is>
      </c>
      <c r="B16" s="10" t="n">
        <v>8</v>
      </c>
      <c r="C16" s="13" t="inlineStr">
        <is>
          <t>De pool waaruit elke sessie trekt.</t>
        </is>
      </c>
    </row>
    <row r="17" ht="26" customHeight="1">
      <c r="A17" s="13" t="inlineStr">
        <is>
          <t>Oefeningen per sessie</t>
        </is>
      </c>
      <c r="B17" s="10" t="n">
        <v>3</v>
      </c>
      <c r="C17" s="13" t="inlineStr">
        <is>
          <t>Uit de pool van acht. Nooit twee keer hetzelfde type achter elkaar.</t>
        </is>
      </c>
    </row>
    <row r="18" ht="26" customHeight="1">
      <c r="A18" s="13" t="inlineStr">
        <is>
          <t>Sessies per week</t>
        </is>
      </c>
      <c r="B18" s="10" t="n">
        <v>2</v>
      </c>
      <c r="C18" s="13" t="inlineStr">
        <is>
          <t>Wat telt als contact voor de streak.</t>
        </is>
      </c>
    </row>
    <row r="19" ht="26" customHeight="1">
      <c r="A19" s="13" t="inlineStr">
        <is>
          <t>Lessen per thema</t>
        </is>
      </c>
      <c r="B19" s="10" t="n">
        <v>4</v>
      </c>
      <c r="C19" s="13" t="inlineStr">
        <is>
          <t>Naast de oefeningen.</t>
        </is>
      </c>
    </row>
    <row r="21">
      <c r="A21" s="5" t="inlineStr">
        <is>
          <t>WAT DAT KOST</t>
        </is>
      </c>
    </row>
    <row r="22" ht="32" customHeight="1">
      <c r="A22" s="7" t="inlineStr">
        <is>
          <t>Berekening</t>
        </is>
      </c>
      <c r="B22" s="7" t="inlineStr">
        <is>
          <t>Uitkomst</t>
        </is>
      </c>
      <c r="C22" s="7" t="inlineStr">
        <is>
          <t>Toelichting</t>
        </is>
      </c>
    </row>
    <row r="23" ht="42" customHeight="1">
      <c r="A23" s="13" t="inlineStr">
        <is>
          <t>Actieve weken per jaar</t>
        </is>
      </c>
      <c r="B23" s="19">
        <f>B14*B15</f>
        <v/>
      </c>
      <c r="C23" s="13" t="inlineStr">
        <is>
          <t>Thema's per jaar × weken per thema.</t>
        </is>
      </c>
    </row>
    <row r="24" ht="42" customHeight="1">
      <c r="A24" s="13" t="inlineStr">
        <is>
          <t>Oefeningen per jaar per profiel</t>
        </is>
      </c>
      <c r="B24" s="19">
        <f>B14*B16</f>
        <v/>
      </c>
      <c r="C24" s="13" t="inlineStr">
        <is>
          <t>Wat één vader in één jaar te zien krijgt.</t>
        </is>
      </c>
    </row>
    <row r="25" ht="42" customHeight="1">
      <c r="A25" s="13" t="inlineStr">
        <is>
          <t>Sessies per thema</t>
        </is>
      </c>
      <c r="B25" s="19">
        <f>B15*B18</f>
        <v/>
      </c>
      <c r="C25" s="13" t="inlineStr">
        <is>
          <t>Weken per thema × sessies per week.</t>
        </is>
      </c>
    </row>
    <row r="26" ht="42" customHeight="1">
      <c r="A26" s="13" t="inlineStr">
        <is>
          <t>Oefening-vertoningen per thema</t>
        </is>
      </c>
      <c r="B26" s="19">
        <f>B15*B18*B17</f>
        <v/>
      </c>
      <c r="C26" s="13" t="inlineStr">
        <is>
          <t>Meer dan acht, dus elke oefening komt meerdere keren terug. Precies de bedoeling: dat is de herhaling.</t>
        </is>
      </c>
    </row>
    <row r="27" ht="42" customHeight="1">
      <c r="A27" s="13" t="inlineStr">
        <is>
          <t>Als elk jaar volledig nieuw zou zijn</t>
        </is>
      </c>
      <c r="B27" s="15">
        <f>864</f>
        <v/>
      </c>
      <c r="C27" s="13" t="inlineStr">
        <is>
          <t>6 thema's × 8 oefeningen × alle jaren in alle acht band-geslacht-combinaties. Onhaalbaar, en daarom niet het model.</t>
        </is>
      </c>
    </row>
    <row r="28" ht="42" customHeight="1">
      <c r="A28" s="17" t="inlineStr">
        <is>
          <t>Skeletten (mechaniek + principe)</t>
        </is>
      </c>
      <c r="B28" s="17">
        <f>B14*B16</f>
        <v/>
      </c>
      <c r="C28" s="17" t="inlineStr">
        <is>
          <t>Eén skelet is de oefenvorm plus het onderliggende punt. Die zijn niet leeftijdsgebonden en worden gedeeld over alle banden.</t>
        </is>
      </c>
    </row>
    <row r="29" ht="42" customHeight="1">
      <c r="A29" s="17" t="inlineStr">
        <is>
          <t>Situaties om te schrijven</t>
        </is>
      </c>
      <c r="B29" s="17">
        <f>B14*B16*2.5</f>
        <v/>
      </c>
      <c r="C29" s="17" t="inlineStr">
        <is>
          <t>Gemiddeld tweeënhalve situatievariant per skelet. Dít is het echte schrijfwerk, en het is af te maken.</t>
        </is>
      </c>
    </row>
    <row r="31" ht="46" customHeight="1">
      <c r="A31" s="20" t="inlineStr">
        <is>
          <t>De twee groene regels zijn de kern: je schrijft niet 864 oefeningen, je schrijft 48 skeletten en ongeveer 120 situaties. Een skelet is de vorm en het punt ("twee redelijke wegen, en het hangt af van wat eraan voorafging"); de situatie is de scène, en die verschilt wél per leeftijd en geslacht.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pane ySplit="17" topLeftCell="A18" activePane="bottomLeft" state="frozen"/>
      <selection pane="bottomLeft" activeCell="A1" sqref="A1"/>
    </sheetView>
  </sheetViews>
  <sheetFormatPr baseColWidth="8" defaultRowHeight="15"/>
  <cols>
    <col width="30" customWidth="1" min="1" max="1"/>
    <col width="22" customWidth="1" min="2" max="2"/>
    <col width="74" customWidth="1" min="3" max="3"/>
    <col width="20" customWidth="1" min="4" max="4"/>
  </cols>
  <sheetData>
    <row r="1">
      <c r="A1" s="1" t="inlineStr">
        <is>
          <t>Drie raamwerken voor de opbouw van een thema</t>
        </is>
      </c>
    </row>
    <row r="2">
      <c r="A2" s="2" t="inlineStr">
        <is>
          <t>Drie manieren om een thema in te richten. Kies er één, of combineer per thema in de laatste kolom.</t>
        </is>
      </c>
    </row>
    <row r="4" ht="32" customHeight="1">
      <c r="A4" s="7" t="inlineStr"/>
      <c r="B4" s="7" t="inlineStr">
        <is>
          <t>A — De boog</t>
        </is>
      </c>
      <c r="C4" s="7" t="inlineStr">
        <is>
          <t>B — De gereedschapskist</t>
        </is>
      </c>
      <c r="D4" s="7" t="inlineStr">
        <is>
          <t>C — De lus</t>
        </is>
      </c>
    </row>
    <row r="5" ht="66" customHeight="1">
      <c r="A5" s="16" t="inlineStr">
        <is>
          <t>In één zin</t>
        </is>
      </c>
      <c r="B5" s="13" t="inlineStr">
        <is>
          <t>Het thema is één verhaal in vier lessen: herkennen, begrijpen, proberen, volhouden.</t>
        </is>
      </c>
      <c r="C5" s="13" t="inlineStr">
        <is>
          <t>Het thema is een kist met vier tot zes losse situaties. De vader pakt wat past bij zijn week.</t>
        </is>
      </c>
      <c r="D5" s="13" t="inlineStr">
        <is>
          <t>Het thema begint met een peiling, en bedient de vader daarna op maat: oefeningen eerst, uitleg alleen waar het hapert.</t>
        </is>
      </c>
    </row>
    <row r="6" ht="66" customHeight="1">
      <c r="A6" s="16" t="inlineStr">
        <is>
          <t>Volgorde</t>
        </is>
      </c>
      <c r="B6" s="13" t="inlineStr">
        <is>
          <t>Vast. Les 2 heeft les 1 nodig.</t>
        </is>
      </c>
      <c r="C6" s="13" t="inlineStr">
        <is>
          <t>Vrij. Elke situatie staat op zichzelf.</t>
        </is>
      </c>
      <c r="D6" s="13" t="inlineStr">
        <is>
          <t>Door het systeem bepaald, op basis van wat hij fout of onzeker doet.</t>
        </is>
      </c>
    </row>
    <row r="7" ht="66" customHeight="1">
      <c r="A7" s="16" t="inlineStr">
        <is>
          <t>Sessie ziet eruit als</t>
        </is>
      </c>
      <c r="B7" s="13" t="inlineStr">
        <is>
          <t>Eén les plus twee oefeningen uit die les, en één opfrisser uit de vorige.</t>
        </is>
      </c>
      <c r="C7" s="13" t="inlineStr">
        <is>
          <t>Eén situatie plus drie oefeningen uit de hele themapool.</t>
        </is>
      </c>
      <c r="D7" s="13" t="inlineStr">
        <is>
          <t>Vier oefeningen uit de pool. Struikelt hij, dan schuift de bijbehorende micro-les ertussen.</t>
        </is>
      </c>
    </row>
    <row r="8" ht="66" customHeight="1">
      <c r="A8" s="16" t="inlineStr">
        <is>
          <t>Oefenmix</t>
        </is>
      </c>
      <c r="B8" s="13" t="inlineStr">
        <is>
          <t>Loopt mee met de boog: herkennen vroeg (Waar ging het mis), produceren laat (Eén woord verschil).</t>
        </is>
      </c>
      <c r="C8" s="13" t="inlineStr">
        <is>
          <t>Willekeurig uit de pool van acht, gewogen op wat hij nog niet zag.</t>
        </is>
      </c>
      <c r="D8" s="13" t="inlineStr">
        <is>
          <t>Adaptief. Types waarop hij zwak scoort komen vaker.</t>
        </is>
      </c>
    </row>
    <row r="9" ht="66" customHeight="1">
      <c r="A9" s="16" t="inlineStr">
        <is>
          <t>Herhaling</t>
        </is>
      </c>
      <c r="B9" s="13" t="inlineStr">
        <is>
          <t>Checkpoint aan het eind van de boog.</t>
        </is>
      </c>
      <c r="C9" s="13" t="inlineStr">
        <is>
          <t>Doorlopend: elke sessie mengt oude en nieuwe situaties.</t>
        </is>
      </c>
      <c r="D9" s="13" t="inlineStr">
        <is>
          <t>Ingebouwd — de peiling is meteen de herhaling van vorig jaar.</t>
        </is>
      </c>
    </row>
    <row r="10" ht="66" customHeight="1">
      <c r="A10" s="16" t="inlineStr">
        <is>
          <t>Sterk</t>
        </is>
      </c>
      <c r="B10" s="13" t="inlineStr">
        <is>
          <t>Samenhang en emotionele opbouw. Voelt als een verhaal met een einde, en dat einde is een echt moment.</t>
        </is>
      </c>
      <c r="C10" s="13" t="inlineStr">
        <is>
          <t>Sluit aan bij de week die hij nu heeft. Geen enkele les voelt als omweg. Laagste drempel om te beginnen.</t>
        </is>
      </c>
      <c r="D10" s="13" t="inlineStr">
        <is>
          <t>Respecteert ervaring. Een vader die dit al kan wordt niet door vier lessen gesleept. Snelste weg naar waarde.</t>
        </is>
      </c>
    </row>
    <row r="11" ht="66" customHeight="1">
      <c r="A11" s="16" t="inlineStr">
        <is>
          <t>Zwak</t>
        </is>
      </c>
      <c r="B11" s="13" t="inlineStr">
        <is>
          <t>Wie op les 2 vastloopt komt nooit bij les 4. En als zijn probleem in les 4 zit, moet hij eerst drie lessen door.</t>
        </is>
      </c>
      <c r="C11" s="13" t="inlineStr">
        <is>
          <t>Geen opbouw. Het risico is dat alles even oppervlakkig blijft en niets zich verdiept.</t>
        </is>
      </c>
      <c r="D11" s="13" t="inlineStr">
        <is>
          <t>Vraagt de meeste content én de meeste logica. Zonder een ruime pool valt het adaptieve stuk meteen door de mand.</t>
        </is>
      </c>
    </row>
    <row r="12" ht="66" customHeight="1">
      <c r="A12" s="16" t="inlineStr">
        <is>
          <t>Bouwlast</t>
        </is>
      </c>
      <c r="B12" s="13" t="inlineStr">
        <is>
          <t>Laag. Dicht bij wat er nu al staat.</t>
        </is>
      </c>
      <c r="C12" s="13" t="inlineStr">
        <is>
          <t>Midden. Situaties moeten echt los van elkaar kunnen staan.</t>
        </is>
      </c>
      <c r="D12" s="13" t="inlineStr">
        <is>
          <t>Hoog. Peiling, scoremodel per type, en een pool die groot genoeg is om te kunnen kiezen.</t>
        </is>
      </c>
    </row>
    <row r="13" ht="66" customHeight="1">
      <c r="A13" s="16" t="inlineStr">
        <is>
          <t>Past bij</t>
        </is>
      </c>
      <c r="B13" s="13" t="inlineStr">
        <is>
          <t>Fundament-thema's waar de volgorde er echt toe doet. Bijvoorbeeld Contact maken.</t>
        </is>
      </c>
      <c r="C13" s="13" t="inlineStr">
        <is>
          <t>Thema's waar de vader met een concreet probleem binnenkomt. Schermen, Als het escaleert.</t>
        </is>
      </c>
      <c r="D13" s="13" t="inlineStr">
        <is>
          <t>Het tweede jaar in dezelfde band, als hij de thema's al eens deed.</t>
        </is>
      </c>
    </row>
    <row r="15" ht="32" customHeight="1">
      <c r="A15" s="5" t="inlineStr">
        <is>
          <t>ADVIES</t>
        </is>
      </c>
      <c r="B15" s="4" t="inlineStr">
        <is>
          <t>Niet één raamwerk voor alles kiezen. B is de standaard, A voor het fundament, C pas in jaar twee.</t>
        </is>
      </c>
    </row>
    <row r="17" ht="32" customHeight="1">
      <c r="A17" s="7" t="inlineStr">
        <is>
          <t>Thema</t>
        </is>
      </c>
      <c r="B17" s="7" t="inlineStr">
        <is>
          <t>Raamwerk</t>
        </is>
      </c>
      <c r="C17" s="7" t="inlineStr">
        <is>
          <t>Waarom</t>
        </is>
      </c>
      <c r="D17" s="7" t="inlineStr">
        <is>
          <t>Jouw keuze</t>
        </is>
      </c>
    </row>
    <row r="18" ht="40" customHeight="1">
      <c r="A18" s="16" t="inlineStr">
        <is>
          <t>Contact maken</t>
        </is>
      </c>
      <c r="B18" s="13" t="inlineStr">
        <is>
          <t>A — De boog</t>
        </is>
      </c>
      <c r="C18" s="13" t="inlineStr">
        <is>
          <t>Fundament. De volgorde doet er hier echt toe: binnenlopen zonder agenda gaat vooraf aan een gevoelig gesprek.</t>
        </is>
      </c>
      <c r="D18" s="10" t="inlineStr"/>
    </row>
    <row r="19" ht="40" customHeight="1">
      <c r="A19" s="16" t="inlineStr">
        <is>
          <t>Als het escaleert</t>
        </is>
      </c>
      <c r="B19" s="13" t="inlineStr">
        <is>
          <t>B — Gereedschapskist</t>
        </is>
      </c>
      <c r="C19" s="13" t="inlineStr">
        <is>
          <t>Hier komt hij binnen met een acuut probleem. Laat hem meteen bij zijn eigen situatie.</t>
        </is>
      </c>
      <c r="D19" s="10" t="inlineStr"/>
    </row>
    <row r="20" ht="40" customHeight="1">
      <c r="A20" s="16" t="inlineStr">
        <is>
          <t>Regels en ruimte</t>
        </is>
      </c>
      <c r="B20" s="13" t="inlineStr">
        <is>
          <t>B — Gereedschapskist</t>
        </is>
      </c>
      <c r="C20" s="13" t="inlineStr">
        <is>
          <t>Elke regelkwestie staat op zichzelf; bedtijd en telefoon delen geen opbouw.</t>
        </is>
      </c>
      <c r="D20" s="10" t="inlineStr"/>
    </row>
    <row r="21" ht="40" customHeight="1">
      <c r="A21" s="16" t="inlineStr">
        <is>
          <t>Hoe hij naar zichzelf kijkt</t>
        </is>
      </c>
      <c r="B21" s="13" t="inlineStr">
        <is>
          <t>A — De boog</t>
        </is>
      </c>
      <c r="C21" s="13" t="inlineStr">
        <is>
          <t>Traag thema dat juist wél opbouw nodig heeft, van herkennen naar benoemen.</t>
        </is>
      </c>
      <c r="D21" s="10" t="inlineStr"/>
    </row>
    <row r="22" ht="40" customHeight="1">
      <c r="A22" s="16" t="inlineStr">
        <is>
          <t>Vrienden en de groep</t>
        </is>
      </c>
      <c r="B22" s="13" t="inlineStr">
        <is>
          <t>B — Gereedschapskist</t>
        </is>
      </c>
      <c r="C22" s="13" t="inlineStr">
        <is>
          <t>Situatie-afhankelijk en sterk leeftijdsgebonden.</t>
        </is>
      </c>
      <c r="D22" s="10" t="inlineStr"/>
    </row>
    <row r="23" ht="40" customHeight="1">
      <c r="A23" s="16" t="inlineStr">
        <is>
          <t>Schermen en online</t>
        </is>
      </c>
      <c r="B23" s="13" t="inlineStr">
        <is>
          <t>B — Gereedschapskist</t>
        </is>
      </c>
      <c r="C23" s="13" t="inlineStr">
        <is>
          <t>Vaakst de aanleiding om de app te openen. Nul drempel.</t>
        </is>
      </c>
      <c r="D23" s="10" t="inlineStr"/>
    </row>
  </sheetData>
  <mergeCells count="1">
    <mergeCell ref="B15:D15"/>
  </mergeCells>
  <dataValidations count="1">
    <dataValidation sqref="D18:D23" showDropDown="0" showInputMessage="0" showErrorMessage="0" allowBlank="1" type="list">
      <formula1>"A — De boog,B — Gereedschapskist,C — De lus"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3"/>
  <sheetViews>
    <sheetView workbookViewId="0">
      <pane ySplit="15" topLeftCell="A16" activePane="bottomLeft" state="frozen"/>
      <selection pane="bottomLeft" activeCell="A1" sqref="A1"/>
    </sheetView>
  </sheetViews>
  <sheetFormatPr baseColWidth="8" defaultRowHeight="15"/>
  <cols>
    <col width="4" customWidth="1" min="1" max="1"/>
    <col width="26" customWidth="1" min="2" max="2"/>
    <col width="62" customWidth="1" min="3" max="3"/>
    <col width="26" customWidth="1" min="4" max="4"/>
  </cols>
  <sheetData>
    <row r="1">
      <c r="A1" s="1" t="inlineStr">
        <is>
          <t>Oefenpool — acht per thema, gemengd getrokken</t>
        </is>
      </c>
    </row>
    <row r="2">
      <c r="A2" s="2" t="inlineStr">
        <is>
          <t>Hoe de acht oefeningen van een thema over de sessies verdeeld worden.</t>
        </is>
      </c>
    </row>
    <row r="4" ht="32" customHeight="1">
      <c r="A4" s="7" t="inlineStr">
        <is>
          <t>Regel</t>
        </is>
      </c>
      <c r="B4" s="7" t="inlineStr">
        <is>
          <t>Wat het betekent</t>
        </is>
      </c>
      <c r="C4" s="7" t="inlineStr">
        <is>
          <t>Waarom</t>
        </is>
      </c>
    </row>
    <row r="5" ht="58" customHeight="1">
      <c r="A5" s="16" t="inlineStr">
        <is>
          <t>Pool van 8</t>
        </is>
      </c>
      <c r="B5" s="13" t="inlineStr">
        <is>
          <t>Elk thema heeft acht oefeningen. Een sessie trekt er drie.</t>
        </is>
      </c>
      <c r="C5" s="13" t="inlineStr">
        <is>
          <t>Acht is genoeg om twaalf sessies te vullen zonder dat het uitgekauwd raakt, en klein genoeg om per band te schrijven.</t>
        </is>
      </c>
    </row>
    <row r="6" ht="58" customHeight="1">
      <c r="A6" s="16" t="inlineStr">
        <is>
          <t>Gewogen, niet willekeurig</t>
        </is>
      </c>
      <c r="B6" s="13" t="inlineStr">
        <is>
          <t>Volgorde van voorrang: nog nooit gezien &gt; eerder fout of onzeker &gt; lang geleden &gt; recent goed.</t>
        </is>
      </c>
      <c r="C6" s="13" t="inlineStr">
        <is>
          <t>Zuiver willekeurig geeft dubbelingen in dezelfde sessie en laat zwakke plekken liggen. Dit is Duolingo's kern.</t>
        </is>
      </c>
    </row>
    <row r="7" ht="58" customHeight="1">
      <c r="A7" s="16" t="inlineStr">
        <is>
          <t>Nooit twee keer hetzelfde type</t>
        </is>
      </c>
      <c r="B7" s="13" t="inlineStr">
        <is>
          <t>Binnen één sessie komt elk vraagtype hoogstens één keer voor.</t>
        </is>
      </c>
      <c r="C7" s="13" t="inlineStr">
        <is>
          <t>Afwisseling is het hele punt. Drie keer 'beste aanpak' achter elkaar is precies wat er nu misgaat.</t>
        </is>
      </c>
    </row>
    <row r="8" ht="58" customHeight="1">
      <c r="A8" s="16" t="inlineStr">
        <is>
          <t>Minstens één niet-scoorbare</t>
        </is>
      </c>
      <c r="B8" s="13" t="inlineStr">
        <is>
          <t>Elke sessie bevat een Terugblik of een Jouw eerste neiging.</t>
        </is>
      </c>
      <c r="C8" s="13" t="inlineStr">
        <is>
          <t>Anders voelt het als een toets. Een van de drie moet een vraag zijn waar geen goed antwoord op bestaat.</t>
        </is>
      </c>
    </row>
    <row r="9" ht="58" customHeight="1">
      <c r="A9" s="16" t="inlineStr">
        <is>
          <t>Hooguit één 'beste aanpak'</t>
        </is>
      </c>
      <c r="B9" s="13" t="inlineStr">
        <is>
          <t>Van de acht in een pool zijn er maximaal twee van dit type, en per sessie hooguit één.</t>
        </is>
      </c>
      <c r="C9" s="13" t="inlineStr">
        <is>
          <t>Dit is het gokbare type. Het mag bestaan, maar het mag het thema niet dragen.</t>
        </is>
      </c>
    </row>
    <row r="10" ht="58" customHeight="1">
      <c r="A10" s="16" t="inlineStr">
        <is>
          <t>Fouten voorrang</t>
        </is>
      </c>
      <c r="B10" s="13" t="inlineStr">
        <is>
          <t>Een fout beantwoorde oefening komt terug in de eerstvolgende sessie.</t>
        </is>
      </c>
      <c r="C10" s="13" t="inlineStr">
        <is>
          <t>Fouten die niet terugkomen leren niets.</t>
        </is>
      </c>
    </row>
    <row r="11" ht="58" customHeight="1">
      <c r="A11" s="16" t="inlineStr">
        <is>
          <t>Skelet en situatie apart</t>
        </is>
      </c>
      <c r="B11" s="13" t="inlineStr">
        <is>
          <t>Een oefening is een skelet (de vorm plus het punt) en een situatie (de scène). Hetzelfde skelet krijgt per band en geslacht een andere scène.</t>
        </is>
      </c>
      <c r="C11" s="13" t="inlineStr">
        <is>
          <t>Zo schrijf je 48 skeletten en ongeveer 120 situaties in plaats van 864 losse oefeningen. Dit is wat het jaarlijkse vernieuwen betaalbaar maakt.</t>
        </is>
      </c>
    </row>
    <row r="14">
      <c r="A14" s="5" t="inlineStr">
        <is>
          <t>VOORBEELDVERDELING VAN ÉÉN POOL</t>
        </is>
      </c>
    </row>
    <row r="15" ht="32" customHeight="1">
      <c r="A15" s="7" t="inlineStr">
        <is>
          <t>#</t>
        </is>
      </c>
      <c r="B15" s="7" t="inlineStr">
        <is>
          <t>Vraagtype</t>
        </is>
      </c>
      <c r="C15" s="7" t="inlineStr">
        <is>
          <t>Rol in het thema</t>
        </is>
      </c>
      <c r="D15" s="7" t="inlineStr">
        <is>
          <t>Skelet gedeeld over banden?</t>
        </is>
      </c>
    </row>
    <row r="16" ht="34" customHeight="1">
      <c r="A16" s="13" t="n">
        <v>1</v>
      </c>
      <c r="B16" s="13" t="inlineStr">
        <is>
          <t>Waar ging het mis</t>
        </is>
      </c>
      <c r="C16" s="13" t="inlineStr">
        <is>
          <t>Opent het thema. Herkennen is makkelijker dan bedenken.</t>
        </is>
      </c>
      <c r="D16" s="17" t="inlineStr">
        <is>
          <t>Ja</t>
        </is>
      </c>
    </row>
    <row r="17" ht="34" customHeight="1">
      <c r="A17" s="13" t="n">
        <v>2</v>
      </c>
      <c r="B17" s="13" t="inlineStr">
        <is>
          <t>Jouw eerste neiging</t>
        </is>
      </c>
      <c r="C17" s="13" t="inlineStr">
        <is>
          <t>Peilt waar deze vader staat. Geen goed antwoord.</t>
        </is>
      </c>
      <c r="D17" s="17" t="inlineStr">
        <is>
          <t>Ja</t>
        </is>
      </c>
    </row>
    <row r="18" ht="34" customHeight="1">
      <c r="A18" s="13" t="n">
        <v>3</v>
      </c>
      <c r="B18" s="13" t="inlineStr">
        <is>
          <t>Twee redelijke wegen</t>
        </is>
      </c>
      <c r="C18" s="13" t="inlineStr">
        <is>
          <t>Kern van het thema. Het hangt ervan af, en waarvan precies.</t>
        </is>
      </c>
      <c r="D18" s="17" t="inlineStr">
        <is>
          <t>Ja</t>
        </is>
      </c>
    </row>
    <row r="19" ht="34" customHeight="1">
      <c r="A19" s="13" t="n">
        <v>4</v>
      </c>
      <c r="B19" s="13" t="inlineStr">
        <is>
          <t>Twee redelijke wegen</t>
        </is>
      </c>
      <c r="C19" s="13" t="inlineStr">
        <is>
          <t>Zelfde vorm, andere situatie, ander afhankelijkheidspunt.</t>
        </is>
      </c>
      <c r="D19" s="17" t="inlineStr">
        <is>
          <t>Ja</t>
        </is>
      </c>
    </row>
    <row r="20" ht="34" customHeight="1">
      <c r="A20" s="13" t="n">
        <v>5</v>
      </c>
      <c r="B20" s="13" t="inlineStr">
        <is>
          <t>Eén woord verschil</t>
        </is>
      </c>
      <c r="C20" s="13" t="inlineStr">
        <is>
          <t>Precisie in taal. Hier zit de meeste winst thuis.</t>
        </is>
      </c>
      <c r="D20" s="13" t="inlineStr">
        <is>
          <t>Deels</t>
        </is>
      </c>
    </row>
    <row r="21" ht="34" customHeight="1">
      <c r="A21" s="13" t="n">
        <v>6</v>
      </c>
      <c r="B21" s="13" t="inlineStr">
        <is>
          <t>En dan?</t>
        </is>
      </c>
      <c r="C21" s="13" t="inlineStr">
        <is>
          <t>Toetst het mentale model van dit kind op deze leeftijd.</t>
        </is>
      </c>
      <c r="D21" s="15" t="inlineStr">
        <is>
          <t>Nee</t>
        </is>
      </c>
    </row>
    <row r="22" ht="34" customHeight="1">
      <c r="A22" s="13" t="n">
        <v>7</v>
      </c>
      <c r="B22" s="13" t="inlineStr">
        <is>
          <t>Zet op volgorde</t>
        </is>
      </c>
      <c r="C22" s="13" t="inlineStr">
        <is>
          <t>Volgorde als vaardigheid. Niet te gokken op toon.</t>
        </is>
      </c>
      <c r="D22" s="17" t="inlineStr">
        <is>
          <t>Ja</t>
        </is>
      </c>
    </row>
    <row r="23" ht="34" customHeight="1">
      <c r="A23" s="13" t="n">
        <v>8</v>
      </c>
      <c r="B23" s="13" t="inlineStr">
        <is>
          <t>Beste aanpak</t>
        </is>
      </c>
      <c r="C23" s="13" t="inlineStr">
        <is>
          <t>Het enige gokbare type in de pool. Alleen waar er echt één betere reactie is.</t>
        </is>
      </c>
      <c r="D23" s="17" t="inlineStr">
        <is>
          <t>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2026-08-29T08:01:13Z</dcterms:created>
  <dcterms:modified xsi:type="dcterms:W3CDTF">2026-08-29T10:46:57Z</dcterms:modified>
</cp:coreProperties>
</file>